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1. Standar Penawaran 2026\"/>
    </mc:Choice>
  </mc:AlternateContent>
  <xr:revisionPtr revIDLastSave="0" documentId="13_ncr:1_{A71BFA1A-5DC3-429B-A52B-24918E03B59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awaran" sheetId="5" r:id="rId1"/>
  </sheets>
  <externalReferences>
    <externalReference r:id="rId2"/>
  </externalReferences>
  <definedNames>
    <definedName name="_xlnm.Print_Area" localSheetId="0">Penawaran!$C$2:$Q$201</definedName>
    <definedName name="_xlnm.Print_Titles" localSheetId="0">Penawaran!$22:$24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5" l="1"/>
  <c r="G62" i="5"/>
  <c r="N72" i="5" s="1"/>
  <c r="S58" i="5"/>
  <c r="S59" i="5"/>
  <c r="N76" i="5"/>
  <c r="Q181" i="5" l="1"/>
  <c r="Q176" i="5"/>
  <c r="Q174" i="5"/>
  <c r="Q160" i="5"/>
  <c r="Q146" i="5"/>
  <c r="Q137" i="5"/>
  <c r="Q136" i="5"/>
  <c r="Q135" i="5"/>
  <c r="Q118" i="5" l="1"/>
  <c r="Q122" i="5"/>
  <c r="Q121" i="5"/>
  <c r="Q117" i="5" l="1"/>
  <c r="Q116" i="5"/>
  <c r="Q115" i="5"/>
  <c r="Q103" i="5"/>
  <c r="Q101" i="5"/>
  <c r="Q102" i="5"/>
  <c r="F67" i="5"/>
  <c r="N65" i="5"/>
  <c r="Q65" i="5" s="1"/>
  <c r="N64" i="5"/>
  <c r="N63" i="5"/>
  <c r="Q63" i="5" s="1"/>
  <c r="N62" i="5"/>
  <c r="N61" i="5"/>
  <c r="Q82" i="5"/>
  <c r="Q42" i="5"/>
  <c r="N43" i="5"/>
  <c r="Q43" i="5" s="1"/>
  <c r="Q33" i="5"/>
  <c r="Q31" i="5"/>
  <c r="Q32" i="5"/>
  <c r="Q91" i="5"/>
  <c r="Q90" i="5"/>
  <c r="Q87" i="5"/>
  <c r="Q86" i="5"/>
  <c r="Q152" i="5"/>
  <c r="Q170" i="5"/>
  <c r="Q161" i="5"/>
  <c r="N44" i="5" l="1"/>
  <c r="Q141" i="5"/>
  <c r="Q44" i="5" l="1"/>
  <c r="N45" i="5"/>
  <c r="N46" i="5" s="1"/>
  <c r="Q46" i="5" s="1"/>
  <c r="Q151" i="5"/>
  <c r="Q142" i="5"/>
  <c r="N36" i="5"/>
  <c r="N37" i="5" s="1"/>
  <c r="Q35" i="5"/>
  <c r="Q45" i="5" l="1"/>
  <c r="N38" i="5"/>
  <c r="Q37" i="5"/>
  <c r="Q36" i="5"/>
  <c r="N39" i="5" l="1"/>
  <c r="Q38" i="5"/>
  <c r="N40" i="5" l="1"/>
  <c r="Q39" i="5"/>
  <c r="N54" i="5" l="1"/>
  <c r="N55" i="5"/>
  <c r="Q40" i="5"/>
  <c r="Q54" i="5"/>
  <c r="Q163" i="5"/>
  <c r="Q166" i="5"/>
  <c r="Q167" i="5"/>
  <c r="Q168" i="5"/>
  <c r="Q165" i="5"/>
  <c r="Q164" i="5"/>
  <c r="Q156" i="5"/>
  <c r="Q99" i="5"/>
  <c r="Q104" i="5"/>
  <c r="Q100" i="5"/>
  <c r="Q107" i="5"/>
  <c r="Q108" i="5"/>
  <c r="Q109" i="5"/>
  <c r="Q132" i="5"/>
  <c r="Q133" i="5"/>
  <c r="Q128" i="5"/>
  <c r="N81" i="5"/>
  <c r="Q81" i="5" s="1"/>
  <c r="Q52" i="5"/>
  <c r="Q48" i="5"/>
  <c r="Q53" i="5"/>
  <c r="Q51" i="5"/>
  <c r="Q50" i="5"/>
  <c r="Q124" i="5"/>
  <c r="Q123" i="5"/>
  <c r="R120" i="5" s="1"/>
  <c r="Q98" i="5"/>
  <c r="Q97" i="5"/>
  <c r="Q64" i="5"/>
  <c r="Q179" i="5"/>
  <c r="Q80" i="5"/>
  <c r="Q180" i="5"/>
  <c r="Q173" i="5"/>
  <c r="Q148" i="5"/>
  <c r="Q144" i="5"/>
  <c r="Q149" i="5"/>
  <c r="Q150" i="5"/>
  <c r="Q147" i="5"/>
  <c r="Q143" i="5"/>
  <c r="R139" i="5" s="1"/>
  <c r="Q159" i="5"/>
  <c r="Q158" i="5"/>
  <c r="Q157" i="5"/>
  <c r="Q114" i="5"/>
  <c r="Q113" i="5"/>
  <c r="Q112" i="5"/>
  <c r="R111" i="5" s="1"/>
  <c r="Q175" i="5"/>
  <c r="Q131" i="5"/>
  <c r="Q130" i="5"/>
  <c r="Q127" i="5"/>
  <c r="Q93" i="5"/>
  <c r="R84" i="5" s="1"/>
  <c r="Q79" i="5"/>
  <c r="N78" i="5"/>
  <c r="P69" i="5"/>
  <c r="P73" i="5" s="1"/>
  <c r="Q61" i="5"/>
  <c r="Q59" i="5"/>
  <c r="Q58" i="5"/>
  <c r="Q24" i="5"/>
  <c r="R95" i="5" l="1"/>
  <c r="R106" i="5"/>
  <c r="R178" i="5"/>
  <c r="R154" i="5"/>
  <c r="R126" i="5"/>
  <c r="R172" i="5"/>
  <c r="Q49" i="5"/>
  <c r="P70" i="5"/>
  <c r="P74" i="5" s="1"/>
  <c r="P78" i="5" s="1"/>
  <c r="P72" i="5"/>
  <c r="Q72" i="5" s="1"/>
  <c r="N77" i="5"/>
  <c r="N68" i="5"/>
  <c r="Q68" i="5" s="1"/>
  <c r="Q62" i="5"/>
  <c r="N74" i="5"/>
  <c r="N73" i="5"/>
  <c r="Q73" i="5" s="1"/>
  <c r="P76" i="5"/>
  <c r="Q76" i="5" s="1"/>
  <c r="P77" i="5"/>
  <c r="Q55" i="5"/>
  <c r="R29" i="5" l="1"/>
  <c r="Q78" i="5"/>
  <c r="Q74" i="5"/>
  <c r="N69" i="5"/>
  <c r="N70" i="5"/>
  <c r="Q70" i="5" s="1"/>
  <c r="Q77" i="5"/>
  <c r="Q69" i="5" l="1"/>
  <c r="R57" i="5" s="1"/>
  <c r="R182" i="5" s="1"/>
  <c r="Q183" i="5" l="1"/>
  <c r="R183" i="5" a="1"/>
  <c r="R183" i="5" l="1"/>
  <c r="Q18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<sst xmlns="http://schemas.openxmlformats.org/spreadsheetml/2006/main" count="467" uniqueCount="232">
  <si>
    <t>INDENTITAS KAPAL</t>
  </si>
  <si>
    <t>NAMA KAPAL</t>
  </si>
  <si>
    <t>:</t>
  </si>
  <si>
    <t>LEBAR</t>
  </si>
  <si>
    <t>LOA</t>
  </si>
  <si>
    <t>TINGGI</t>
  </si>
  <si>
    <t>DAYA M/E</t>
  </si>
  <si>
    <t>DOCKING</t>
  </si>
  <si>
    <t>JENIS SURVEY</t>
  </si>
  <si>
    <t>No.</t>
  </si>
  <si>
    <t>U R A I A N</t>
  </si>
  <si>
    <t>VOLUME</t>
  </si>
  <si>
    <t>QTY.</t>
  </si>
  <si>
    <t>UNIT</t>
  </si>
  <si>
    <t>DOCKING / GALANGAN</t>
  </si>
  <si>
    <t>a.</t>
  </si>
  <si>
    <t>b.</t>
  </si>
  <si>
    <t>-</t>
  </si>
  <si>
    <t>ls</t>
  </si>
  <si>
    <t xml:space="preserve">- Kapal naik Dock </t>
  </si>
  <si>
    <t>- Kapal turun Dock</t>
  </si>
  <si>
    <t>hari</t>
  </si>
  <si>
    <t>LBP</t>
  </si>
  <si>
    <t>RATE</t>
  </si>
  <si>
    <t>T O T A L</t>
  </si>
  <si>
    <t>(Rp)</t>
  </si>
  <si>
    <t>c.</t>
  </si>
  <si>
    <t>d.</t>
  </si>
  <si>
    <t>To</t>
  </si>
  <si>
    <t>Date</t>
  </si>
  <si>
    <t>Attn</t>
  </si>
  <si>
    <t>Contact</t>
  </si>
  <si>
    <t>Email</t>
  </si>
  <si>
    <t>Address</t>
  </si>
  <si>
    <t>Quote no.</t>
  </si>
  <si>
    <t>Revision</t>
  </si>
  <si>
    <t>Phone / Fax</t>
  </si>
  <si>
    <t>lot</t>
  </si>
  <si>
    <t>* Pembayaran akan ditagihkan sesuai dengan kuantiti aktual dilapangan</t>
  </si>
  <si>
    <t>* Pekerjaan yang belum termasuk dalam penawaran akan ditawarkan kemudian jika ada</t>
  </si>
  <si>
    <t>PT CAPUTRA MITRA SEJATI</t>
  </si>
  <si>
    <t>Payment Account</t>
  </si>
  <si>
    <t>e.</t>
  </si>
  <si>
    <t xml:space="preserve">     - Diberikan fasilitas tempat sampah selama perbaikan (termasuk buang)</t>
  </si>
  <si>
    <t>f.</t>
  </si>
  <si>
    <t>* Semua biaya yang berhubungan dengan Class, Syahbandar dan lainnya merupakan tanggung jawab owner</t>
  </si>
  <si>
    <t>* Semua material sisa (waste) plate menjadi hak milik Galangan</t>
  </si>
  <si>
    <t>TOTAL</t>
  </si>
  <si>
    <t>(estimasi)</t>
  </si>
  <si>
    <t xml:space="preserve">Jasa Galangan - Kapal dalam dock meliputi :                                 </t>
  </si>
  <si>
    <t xml:space="preserve">     - Diberikan fasilitas keamanan selama sandar</t>
  </si>
  <si>
    <t>Biaya sandar sebelum/sesudah dock</t>
  </si>
  <si>
    <t>Note</t>
  </si>
  <si>
    <t>* Harga belum termasuk PPN (dibebaskan bila ada SKTD)</t>
  </si>
  <si>
    <t>PT. CAPUTRA MITRA SEJATI</t>
  </si>
  <si>
    <t xml:space="preserve">DRAFT </t>
  </si>
  <si>
    <t>GT / NT</t>
  </si>
  <si>
    <t xml:space="preserve">     - Diberikan fasilitas pemadam kebakaran dan watchman </t>
  </si>
  <si>
    <t xml:space="preserve">     - Diberikan fasilitas keamanan </t>
  </si>
  <si>
    <t xml:space="preserve">     - Diberikan fasilitas MCK untuk ABK</t>
  </si>
  <si>
    <t xml:space="preserve">     - Diberikan fasilitas tangga akses ke atas kapal</t>
  </si>
  <si>
    <t>Bank</t>
  </si>
  <si>
    <t>No. Account</t>
  </si>
  <si>
    <t xml:space="preserve">Branch </t>
  </si>
  <si>
    <t xml:space="preserve">An  </t>
  </si>
  <si>
    <t>Docking report</t>
  </si>
  <si>
    <t>unit</t>
  </si>
  <si>
    <t>PROPELLER AND SHAFT</t>
  </si>
  <si>
    <t>Bongkar pasang propeller PS &amp; STBD</t>
  </si>
  <si>
    <t>Penanganan naik / turun diatas dock untuk perbaikan meliputi :</t>
  </si>
  <si>
    <t>GENERAL SERVICE / SLIPWAY SYSTEM</t>
  </si>
  <si>
    <t>Hasriadin</t>
  </si>
  <si>
    <t>Site Manager</t>
  </si>
  <si>
    <t xml:space="preserve">Supply air tawar selama docking ( as per owner request ) </t>
  </si>
  <si>
    <t>ton</t>
  </si>
  <si>
    <t xml:space="preserve">Rekondisi Propeller yang rusak (maksimal 25% dari diameter) PS &amp; STBD </t>
  </si>
  <si>
    <r>
      <t>Diberikan fasilitas Makan Siang dan Malam untuk ABK (</t>
    </r>
    <r>
      <rPr>
        <sz val="12"/>
        <color rgb="FFFF0000"/>
        <rFont val="Arial Narrow"/>
        <family val="2"/>
      </rPr>
      <t xml:space="preserve"> kecuali hari libur </t>
    </r>
    <r>
      <rPr>
        <sz val="12"/>
        <rFont val="Arial Narrow"/>
        <family val="2"/>
      </rPr>
      <t>), maksimal 10 orang</t>
    </r>
  </si>
  <si>
    <t>* Minimal pembayaran docking Slipway System : Rp. 75.000.000,-</t>
  </si>
  <si>
    <t>Term of Payment</t>
  </si>
  <si>
    <t>Pelunasan; Seluruh Biaya Docking dikurangi uang muka dan pembayaran ke 2</t>
  </si>
  <si>
    <t>Mandiri</t>
  </si>
  <si>
    <t>Duta Merlin - Jakarta Pusat</t>
  </si>
  <si>
    <t>PERAWATAN LAMBUNG DAN DECK</t>
  </si>
  <si>
    <t>Scrapping lambung kapal dari keel sampai topside untuk menghilangkan tritip</t>
  </si>
  <si>
    <r>
      <t>m</t>
    </r>
    <r>
      <rPr>
        <vertAlign val="superscript"/>
        <sz val="12"/>
        <rFont val="Arial Narrow"/>
        <family val="2"/>
      </rPr>
      <t>2</t>
    </r>
  </si>
  <si>
    <t>Waterjet lambung kapal dari keel sampai topside untuk membersihkan air laut untuk mengurangi proses korosi</t>
  </si>
  <si>
    <t xml:space="preserve">Top side </t>
  </si>
  <si>
    <t>Pekerjaan pengecatan</t>
  </si>
  <si>
    <t xml:space="preserve"> - Repainting 1 x layer Primer</t>
  </si>
  <si>
    <t xml:space="preserve"> - Repainting 1 x layer Sealer</t>
  </si>
  <si>
    <t xml:space="preserve"> - Repainting 1 x layer Anti fouling</t>
  </si>
  <si>
    <t>Top side</t>
  </si>
  <si>
    <t xml:space="preserve"> - Repainting 1 x layer Top Coat</t>
  </si>
  <si>
    <t xml:space="preserve"> - Repainting 1 x layer Anti corrosive</t>
  </si>
  <si>
    <t>Jasa perawatan plimsol mark, draft mark, port registry dan nama kapal kemudian dicat putih</t>
  </si>
  <si>
    <t>ship</t>
  </si>
  <si>
    <t xml:space="preserve">Replating </t>
  </si>
  <si>
    <t>kg</t>
  </si>
  <si>
    <t>g.</t>
  </si>
  <si>
    <t>Pengelasan Ulang ( Rewelding )</t>
  </si>
  <si>
    <t>m</t>
  </si>
  <si>
    <t>Bongkar Pasang Saringan Sea Chest termasuk cleaning, sand blast dan painting Sea Chest sesuai underwater paint</t>
  </si>
  <si>
    <t>pcs</t>
  </si>
  <si>
    <t>OUTFITTINGS</t>
  </si>
  <si>
    <t>Bongkar pasang pad eye yang rusak</t>
  </si>
  <si>
    <t>Bongkar pasang ban daprah</t>
  </si>
  <si>
    <t>set</t>
  </si>
  <si>
    <t>Bongkar pasang shaft propeller PS &amp; STBD</t>
  </si>
  <si>
    <t>Pengecekan kelurusan shaft di atas meja dial dan dibuatkan laporannya (sebelum)</t>
  </si>
  <si>
    <t>Rekondisi Shaft propeller PS &amp; STBD</t>
  </si>
  <si>
    <t>h.</t>
  </si>
  <si>
    <t>Bongkar pasang ganti baru rammers packing</t>
  </si>
  <si>
    <t>(material supply shipyard)</t>
  </si>
  <si>
    <t>Cek clearence shaft propeller dan dibuatkan laporannya</t>
  </si>
  <si>
    <t>RUDDER AND RUDDER STOCK</t>
  </si>
  <si>
    <t>Bongkar pasang rudder blade PS &amp; STBD</t>
  </si>
  <si>
    <t>Bongkar pasang rudder stock PS &amp; STBD</t>
  </si>
  <si>
    <t xml:space="preserve">Bongkar &amp; semen kembali flange as tongkat kemudi ki&amp;ka </t>
  </si>
  <si>
    <t>Pengecekan kelurusan rudder stock di atas meja dial dan dibuatkan laporannya (sebelum)</t>
  </si>
  <si>
    <t>Cek clearence tongkat kemudi dan dibuatkan laporannya</t>
  </si>
  <si>
    <t>tanks</t>
  </si>
  <si>
    <t>`</t>
  </si>
  <si>
    <t>Vacum test tangki untuk pengetesan kebocoran tangki setelah replating</t>
  </si>
  <si>
    <t>Common Area</t>
  </si>
  <si>
    <t>Asistensi pemasangan scaffolding</t>
  </si>
  <si>
    <t>m3</t>
  </si>
  <si>
    <t>Blasting lambung  kapal dari keel sampai topside</t>
  </si>
  <si>
    <t>Sweap spot blast</t>
  </si>
  <si>
    <t>Bongkar pasang ganti baru alumunium anode @ 8 kg</t>
  </si>
  <si>
    <t>Dibuatkan gambar bukaan kulit untuk area replating</t>
  </si>
  <si>
    <t>ANCHOR, ANCHOR CHAIN &amp; CHAIN LOCKER</t>
  </si>
  <si>
    <t>Penurunan jangkar dan rantai jangkar digelar untuk dilakukan inspeksi</t>
  </si>
  <si>
    <t>Kalibrasi jangkar dan rantai jangkar dan dibuatkan laporannya</t>
  </si>
  <si>
    <t>Cleaning bak rantai jangkar</t>
  </si>
  <si>
    <t>Pembuangan lumpur</t>
  </si>
  <si>
    <t>CLEANING TANKS</t>
  </si>
  <si>
    <t>Cleaning got kamar mesin</t>
  </si>
  <si>
    <t>Izin manifest pembuangan limbah yang mengandung B3</t>
  </si>
  <si>
    <t>ltr</t>
  </si>
  <si>
    <t>Gas Free Tangki</t>
  </si>
  <si>
    <t>tangki</t>
  </si>
  <si>
    <t>i.</t>
  </si>
  <si>
    <t>j.</t>
  </si>
  <si>
    <t xml:space="preserve"> - Sambung dan lepas sambungan power darat </t>
  </si>
  <si>
    <t xml:space="preserve"> - Supply Listrik Darat</t>
  </si>
  <si>
    <t>Dilakukan pembersihan deck area pada saat kapal sudah selesai repair</t>
  </si>
  <si>
    <t xml:space="preserve"> - Dilakukan proteksi pada zinc anode agar tidak terkena cat</t>
  </si>
  <si>
    <t>Bongkar dan penyemenan ulang tutup manhole</t>
  </si>
  <si>
    <t>Bongkar dan pasang tutup manhole</t>
  </si>
  <si>
    <t>Pasang dan penggantian baru packing manhole</t>
  </si>
  <si>
    <t xml:space="preserve"> - Bongkar pasang anti karat type S-4 (material dari owner)</t>
  </si>
  <si>
    <t>Bongkar pasang jangkar dan rantai jangkar</t>
  </si>
  <si>
    <t>Dibuatkan tanda persegelnya dan kemudian dipasang kembali</t>
  </si>
  <si>
    <t>Propeller</t>
  </si>
  <si>
    <t>Pembongkaran dan penyemenan kembali mur propeller</t>
  </si>
  <si>
    <t>Shaft Propeller</t>
  </si>
  <si>
    <t>Bongkar dan pasang kembali coupling serta bolt &amp; nut shaft propeller (kn/kr)</t>
  </si>
  <si>
    <t>(as actual)</t>
  </si>
  <si>
    <t xml:space="preserve">     - Biaya harian kapal di atas dock</t>
  </si>
  <si>
    <t>Bongkar pasang kembali jumping collar</t>
  </si>
  <si>
    <t>Buka &amp; pasang kembali kwadrant dan stang penghubung</t>
  </si>
  <si>
    <t>Bongkar dan cementing ulang untuk flange kemudi</t>
  </si>
  <si>
    <t>Bongkar dan pasang baut flange daun kemudi</t>
  </si>
  <si>
    <t>(material supply owner)</t>
  </si>
  <si>
    <t>Bongkar pasang ganti baru rantai dan shackle ban dapra</t>
  </si>
  <si>
    <t>Dibayarkan ketika progress pekerjaan mencapai 50%</t>
  </si>
  <si>
    <t>Dibayarkan setelah kapal turun dock dan sebelum meninggalkan galangan</t>
  </si>
  <si>
    <t>TB</t>
  </si>
  <si>
    <t>( 1 kamar, maksimal 2 orang )</t>
  </si>
  <si>
    <t>Full blasting</t>
  </si>
  <si>
    <t>Note : Belum termasuk penambahan diameter shaft (belzona / metal spray)</t>
  </si>
  <si>
    <t>Dilakukan NDT oleh class dan dibuatkan laporannya</t>
  </si>
  <si>
    <t>Dilakukan NDT rudder stock oleh class dan dibuatkan laporannya</t>
  </si>
  <si>
    <t>Internal Frame area</t>
  </si>
  <si>
    <t>Fasilitas alat berat untuk angkat peralatan owner dari darat ke kapal</t>
  </si>
  <si>
    <t>Diberikan fasilitas Mess untuk Owner Surveyor, include makan 1x sehari</t>
  </si>
  <si>
    <t>Dilakukan pengecatan bak rantai jangkar</t>
  </si>
  <si>
    <t>Anchor &amp; Anchor Chain</t>
  </si>
  <si>
    <t>Chain Locker</t>
  </si>
  <si>
    <t>DP 30%</t>
  </si>
  <si>
    <t>Uang Muka ;  30 % dari harga penawaran, di bayarkan sebelum kapal naik Dock</t>
  </si>
  <si>
    <t xml:space="preserve">     - Jasa naik dan turun kapal (include persiapan dan pemasangan ganjal blok)</t>
  </si>
  <si>
    <t xml:space="preserve">     - Dock Master Service</t>
  </si>
  <si>
    <t>ops</t>
  </si>
  <si>
    <t xml:space="preserve">     - Pelayanan tali temali pada saat kapal masuk dan keluar dock</t>
  </si>
  <si>
    <t xml:space="preserve">     - Diberikan fasilitas tempat sampah selama sandar (termasuk buang)</t>
  </si>
  <si>
    <t xml:space="preserve">     - Biaya harian kapal selama kapal sandar</t>
  </si>
  <si>
    <t>jam</t>
  </si>
  <si>
    <t>Diberikan shore connection selama kapal perbaikan</t>
  </si>
  <si>
    <t>STEEL WORK</t>
  </si>
  <si>
    <t>Bullwark external side</t>
  </si>
  <si>
    <t>sweap blast</t>
  </si>
  <si>
    <t>spot blast</t>
  </si>
  <si>
    <r>
      <t>m</t>
    </r>
    <r>
      <rPr>
        <vertAlign val="superscript"/>
        <sz val="12"/>
        <rFont val="Arial Narrow"/>
        <family val="2"/>
      </rPr>
      <t>2</t>
    </r>
    <r>
      <rPr>
        <sz val="11"/>
        <color theme="1"/>
        <rFont val="Calibri"/>
        <family val="2"/>
        <scheme val="minor"/>
      </rPr>
      <t/>
    </r>
  </si>
  <si>
    <t>Underwater area</t>
  </si>
  <si>
    <t>(anode supplied by owner)</t>
  </si>
  <si>
    <t>(cat supplied by owner)</t>
  </si>
  <si>
    <t xml:space="preserve"> - Bongkar pasang kaki-kaki zinc anode</t>
  </si>
  <si>
    <t xml:space="preserve">Perawatan jangkar </t>
  </si>
  <si>
    <t>Blasting dan chipping</t>
  </si>
  <si>
    <t>Painting</t>
  </si>
  <si>
    <t xml:space="preserve">Perawatan rantai jangkar </t>
  </si>
  <si>
    <t>Cleaning FOT</t>
  </si>
  <si>
    <t>Cleaning FWT</t>
  </si>
  <si>
    <t>Pengganian B/N Manhole</t>
  </si>
  <si>
    <t>PIPING &amp; VALVE</t>
  </si>
  <si>
    <t>Bongkar dan service valve</t>
  </si>
  <si>
    <t xml:space="preserve"> - Strainer 16"</t>
  </si>
  <si>
    <t>Dilakukan pengecatan valve</t>
  </si>
  <si>
    <t xml:space="preserve"> - Valve 1/4" s.d. 2" </t>
  </si>
  <si>
    <t xml:space="preserve"> - Valve 2.5" - 4"</t>
  </si>
  <si>
    <t xml:space="preserve"> - Valve 6" </t>
  </si>
  <si>
    <t>Rudder blade</t>
  </si>
  <si>
    <t>Rudder stock</t>
  </si>
  <si>
    <t>Ballancing propeller PS &amp; STBD</t>
  </si>
  <si>
    <t>Polishing propeller PS &amp; STBD</t>
  </si>
  <si>
    <t>INSPECTION &amp; TEST</t>
  </si>
  <si>
    <t>Air Pressure test tangki untuk pengetesan kebocoran tangki setelah replating</t>
  </si>
  <si>
    <t>Pressure test valve</t>
  </si>
  <si>
    <t>Hydrotest line seachest</t>
  </si>
  <si>
    <t>line</t>
  </si>
  <si>
    <t>OTHER</t>
  </si>
  <si>
    <t>Asistensi sea trial</t>
  </si>
  <si>
    <t xml:space="preserve">Pembayaran ke 2 ;  30 % dari penawaran ditambah additional jika ada, </t>
  </si>
  <si>
    <t>121.0018.0088.90</t>
  </si>
  <si>
    <t>Byan Ajusta</t>
  </si>
  <si>
    <t>byan@caputra.com</t>
  </si>
  <si>
    <t>PENAWARAN DOCKING TUGBOAT</t>
  </si>
  <si>
    <t>/CMS-MKT/DOC/V/2026</t>
  </si>
  <si>
    <t>TAHUN 2026</t>
  </si>
  <si>
    <t>kWh</t>
  </si>
  <si>
    <t>Jakarta, 22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</si>
</sst>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21]dd\ mmmm\ yyyy;@"/>
    <numFmt numFmtId="168" formatCode="_(* #,##0.00_);_(* \(#,##0.00\);_(* &quot;-&quot;_);_(@_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u/>
      <sz val="14"/>
      <name val="Arial Narrow"/>
      <family val="2"/>
    </font>
    <font>
      <b/>
      <i/>
      <sz val="12"/>
      <name val="Arial Narrow"/>
      <family val="2"/>
    </font>
    <font>
      <u/>
      <sz val="10"/>
      <color theme="10"/>
      <name val="Arial"/>
      <family val="2"/>
    </font>
    <font>
      <b/>
      <sz val="2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charset val="1"/>
      <scheme val="minor"/>
    </font>
    <font>
      <vertAlign val="superscript"/>
      <sz val="12"/>
      <name val="Arial Narrow"/>
      <family val="2"/>
    </font>
    <font>
      <b/>
      <i/>
      <sz val="12"/>
      <color rgb="FFFF0000"/>
      <name val="Arial Narrow"/>
      <family val="2"/>
    </font>
    <font>
      <sz val="11"/>
      <name val="Arial Narrow"/>
      <family val="2"/>
    </font>
    <font>
      <i/>
      <sz val="12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</font>
    <font>
      <sz val="8"/>
      <name val="Arial"/>
      <family val="2"/>
    </font>
    <font>
      <i/>
      <sz val="12"/>
      <color rgb="FFFF0000"/>
      <name val="Arial Narrow"/>
      <family val="2"/>
    </font>
    <font>
      <u/>
      <sz val="10"/>
      <color theme="10"/>
      <name val="Arial Narrow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4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9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Font="1" applyBorder="1"/>
    <xf numFmtId="0" fontId="5" fillId="0" borderId="0" xfId="0" applyFont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165" fontId="5" fillId="0" borderId="22" xfId="1" applyFont="1" applyBorder="1"/>
    <xf numFmtId="15" fontId="5" fillId="0" borderId="0" xfId="0" applyNumberFormat="1" applyFont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5" fillId="0" borderId="0" xfId="8" applyFont="1" applyAlignment="1">
      <alignment horizontal="left"/>
    </xf>
    <xf numFmtId="0" fontId="5" fillId="0" borderId="0" xfId="8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1" applyFont="1" applyAlignment="1">
      <alignment vertical="center"/>
    </xf>
    <xf numFmtId="0" fontId="5" fillId="0" borderId="0" xfId="8" applyFont="1" applyAlignment="1">
      <alignment horizontal="center"/>
    </xf>
    <xf numFmtId="3" fontId="5" fillId="0" borderId="0" xfId="9" applyNumberFormat="1" applyFont="1" applyAlignment="1">
      <alignment horizontal="left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left" vertical="center"/>
    </xf>
    <xf numFmtId="0" fontId="9" fillId="0" borderId="0" xfId="10" applyFont="1" applyAlignment="1">
      <alignment horizontal="left" vertical="center"/>
    </xf>
    <xf numFmtId="0" fontId="8" fillId="0" borderId="0" xfId="10" applyFont="1" applyAlignment="1">
      <alignment horizontal="left" vertical="center"/>
    </xf>
    <xf numFmtId="15" fontId="5" fillId="0" borderId="12" xfId="0" applyNumberFormat="1" applyFont="1" applyBorder="1" applyAlignment="1">
      <alignment horizontal="left" vertical="center"/>
    </xf>
    <xf numFmtId="164" fontId="6" fillId="0" borderId="24" xfId="0" applyNumberFormat="1" applyFont="1" applyBorder="1"/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168" fontId="5" fillId="0" borderId="27" xfId="2" applyNumberFormat="1" applyFont="1" applyBorder="1" applyAlignment="1">
      <alignment horizontal="left" vertical="center"/>
    </xf>
    <xf numFmtId="165" fontId="5" fillId="0" borderId="27" xfId="1" applyFont="1" applyBorder="1"/>
    <xf numFmtId="0" fontId="5" fillId="0" borderId="37" xfId="0" applyFont="1" applyBorder="1"/>
    <xf numFmtId="0" fontId="6" fillId="0" borderId="0" xfId="0" applyFont="1" applyAlignment="1">
      <alignment horizontal="left" vertical="center"/>
    </xf>
    <xf numFmtId="0" fontId="6" fillId="0" borderId="0" xfId="7" applyFont="1" applyBorder="1" applyAlignment="1" applyProtection="1">
      <alignment vertical="center"/>
    </xf>
    <xf numFmtId="0" fontId="6" fillId="0" borderId="0" xfId="13" applyFont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6" fillId="0" borderId="0" xfId="13" quotePrefix="1" applyFont="1" applyAlignment="1">
      <alignment horizontal="left" vertical="top"/>
    </xf>
    <xf numFmtId="0" fontId="6" fillId="0" borderId="0" xfId="8" applyFont="1" applyAlignment="1">
      <alignment vertical="center"/>
    </xf>
    <xf numFmtId="165" fontId="6" fillId="0" borderId="24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166" fontId="7" fillId="0" borderId="2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8" fontId="5" fillId="0" borderId="0" xfId="2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6" fontId="7" fillId="0" borderId="22" xfId="1" applyNumberFormat="1" applyFont="1" applyBorder="1" applyAlignment="1">
      <alignment horizontal="center" vertical="center"/>
    </xf>
    <xf numFmtId="0" fontId="6" fillId="0" borderId="0" xfId="8" quotePrefix="1" applyFont="1" applyAlignment="1">
      <alignment horizontal="right"/>
    </xf>
    <xf numFmtId="15" fontId="5" fillId="0" borderId="0" xfId="0" applyNumberFormat="1" applyFont="1" applyAlignment="1">
      <alignment horizontal="left" vertical="center"/>
    </xf>
    <xf numFmtId="0" fontId="6" fillId="0" borderId="0" xfId="7" applyFont="1" applyAlignment="1" applyProtection="1"/>
    <xf numFmtId="0" fontId="6" fillId="0" borderId="0" xfId="12" applyFont="1" applyAlignment="1">
      <alignment vertical="center"/>
    </xf>
    <xf numFmtId="2" fontId="5" fillId="0" borderId="0" xfId="0" applyNumberFormat="1" applyFont="1" applyAlignment="1">
      <alignment horizontal="left"/>
    </xf>
    <xf numFmtId="0" fontId="6" fillId="0" borderId="0" xfId="8" applyFont="1" applyAlignment="1">
      <alignment horizontal="left"/>
    </xf>
    <xf numFmtId="0" fontId="6" fillId="0" borderId="0" xfId="8" applyFont="1" applyAlignment="1">
      <alignment horizontal="center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3" borderId="0" xfId="8" applyFont="1" applyFill="1" applyAlignment="1">
      <alignment horizontal="center"/>
    </xf>
    <xf numFmtId="0" fontId="6" fillId="3" borderId="0" xfId="8" applyFont="1" applyFill="1" applyAlignment="1">
      <alignment horizontal="left"/>
    </xf>
    <xf numFmtId="0" fontId="6" fillId="3" borderId="0" xfId="8" applyFont="1" applyFill="1" applyAlignment="1">
      <alignment vertical="center"/>
    </xf>
    <xf numFmtId="0" fontId="6" fillId="3" borderId="0" xfId="8" applyFont="1" applyFill="1"/>
    <xf numFmtId="165" fontId="6" fillId="3" borderId="24" xfId="1" applyFont="1" applyFill="1" applyBorder="1" applyAlignment="1">
      <alignment horizontal="center"/>
    </xf>
    <xf numFmtId="164" fontId="6" fillId="3" borderId="24" xfId="0" applyNumberFormat="1" applyFont="1" applyFill="1" applyBorder="1"/>
    <xf numFmtId="164" fontId="5" fillId="0" borderId="0" xfId="0" applyNumberFormat="1" applyFont="1"/>
    <xf numFmtId="164" fontId="5" fillId="0" borderId="0" xfId="2" applyFont="1" applyFill="1" applyBorder="1"/>
    <xf numFmtId="166" fontId="5" fillId="0" borderId="23" xfId="6" applyNumberFormat="1" applyFont="1" applyFill="1" applyBorder="1" applyAlignment="1">
      <alignment vertical="center"/>
    </xf>
    <xf numFmtId="166" fontId="5" fillId="0" borderId="5" xfId="6" applyNumberFormat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5" fontId="5" fillId="0" borderId="40" xfId="0" applyNumberFormat="1" applyFont="1" applyBorder="1" applyAlignment="1">
      <alignment horizontal="center" vertical="center"/>
    </xf>
    <xf numFmtId="15" fontId="5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164" fontId="5" fillId="0" borderId="26" xfId="2" applyFont="1" applyFill="1" applyBorder="1" applyAlignment="1">
      <alignment vertical="center"/>
    </xf>
    <xf numFmtId="164" fontId="5" fillId="0" borderId="38" xfId="2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5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5" fillId="0" borderId="6" xfId="2" applyFont="1" applyFill="1" applyBorder="1" applyAlignment="1">
      <alignment vertical="center"/>
    </xf>
    <xf numFmtId="164" fontId="5" fillId="0" borderId="19" xfId="2" applyFont="1" applyFill="1" applyBorder="1" applyAlignment="1">
      <alignment vertical="center"/>
    </xf>
    <xf numFmtId="15" fontId="5" fillId="0" borderId="5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5" fillId="0" borderId="6" xfId="2" applyFont="1" applyFill="1" applyBorder="1" applyAlignment="1">
      <alignment horizontal="center" vertical="center"/>
    </xf>
    <xf numFmtId="164" fontId="5" fillId="0" borderId="19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8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left" vertical="center"/>
    </xf>
    <xf numFmtId="164" fontId="5" fillId="0" borderId="19" xfId="0" applyNumberFormat="1" applyFont="1" applyBorder="1" applyAlignment="1">
      <alignment horizontal="left" vertical="center"/>
    </xf>
    <xf numFmtId="0" fontId="5" fillId="0" borderId="5" xfId="8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8" applyFont="1" applyBorder="1" applyAlignment="1">
      <alignment horizontal="center" vertical="center"/>
    </xf>
    <xf numFmtId="167" fontId="5" fillId="0" borderId="5" xfId="8" applyNumberFormat="1" applyFont="1" applyBorder="1" applyAlignment="1">
      <alignment horizontal="left" vertical="center"/>
    </xf>
    <xf numFmtId="165" fontId="5" fillId="0" borderId="5" xfId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left" vertical="center"/>
    </xf>
    <xf numFmtId="165" fontId="5" fillId="0" borderId="5" xfId="1" applyFont="1" applyFill="1" applyBorder="1" applyAlignment="1">
      <alignment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5" xfId="11" applyFont="1" applyBorder="1" applyAlignment="1">
      <alignment vertical="center"/>
    </xf>
    <xf numFmtId="0" fontId="20" fillId="0" borderId="5" xfId="8" applyFont="1" applyBorder="1" applyAlignment="1">
      <alignment horizontal="left" vertical="center"/>
    </xf>
    <xf numFmtId="164" fontId="5" fillId="0" borderId="5" xfId="2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64" fontId="5" fillId="0" borderId="23" xfId="2" applyFont="1" applyFill="1" applyBorder="1" applyAlignment="1">
      <alignment horizontal="left" vertical="center"/>
    </xf>
    <xf numFmtId="164" fontId="5" fillId="0" borderId="19" xfId="2" applyFont="1" applyFill="1" applyBorder="1" applyAlignment="1">
      <alignment horizontal="left" vertical="center"/>
    </xf>
    <xf numFmtId="165" fontId="5" fillId="0" borderId="3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 applyAlignment="1">
      <alignment horizontal="left" vertical="center"/>
    </xf>
    <xf numFmtId="165" fontId="5" fillId="0" borderId="6" xfId="1" applyFont="1" applyFill="1" applyBorder="1" applyAlignment="1">
      <alignment horizontal="center" vertical="center"/>
    </xf>
    <xf numFmtId="165" fontId="5" fillId="0" borderId="19" xfId="1" applyFont="1" applyFill="1" applyBorder="1" applyAlignment="1">
      <alignment horizontal="center" vertical="center"/>
    </xf>
    <xf numFmtId="165" fontId="6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4" fontId="5" fillId="0" borderId="42" xfId="2" applyFont="1" applyFill="1" applyBorder="1" applyAlignment="1">
      <alignment horizontal="left" vertical="center"/>
    </xf>
    <xf numFmtId="166" fontId="5" fillId="0" borderId="6" xfId="1" applyNumberFormat="1" applyFont="1" applyFill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center"/>
    </xf>
    <xf numFmtId="165" fontId="18" fillId="0" borderId="5" xfId="1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2" fontId="5" fillId="0" borderId="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left"/>
    </xf>
    <xf numFmtId="1" fontId="5" fillId="0" borderId="4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vertical="center"/>
    </xf>
    <xf numFmtId="166" fontId="5" fillId="0" borderId="19" xfId="6" applyNumberFormat="1" applyFont="1" applyFill="1" applyBorder="1" applyAlignment="1">
      <alignment vertical="center"/>
    </xf>
    <xf numFmtId="165" fontId="19" fillId="0" borderId="5" xfId="1" applyFont="1" applyFill="1" applyBorder="1" applyAlignment="1">
      <alignment vertical="center"/>
    </xf>
    <xf numFmtId="166" fontId="20" fillId="0" borderId="5" xfId="1" applyNumberFormat="1" applyFont="1" applyFill="1" applyBorder="1" applyAlignment="1">
      <alignment vertical="center"/>
    </xf>
    <xf numFmtId="165" fontId="20" fillId="0" borderId="5" xfId="1" applyFont="1" applyFill="1" applyBorder="1" applyAlignment="1">
      <alignment vertical="center"/>
    </xf>
    <xf numFmtId="164" fontId="5" fillId="0" borderId="5" xfId="3" applyFont="1" applyFill="1" applyBorder="1" applyAlignment="1">
      <alignment horizontal="center" vertical="center"/>
    </xf>
    <xf numFmtId="164" fontId="5" fillId="0" borderId="19" xfId="3" applyFont="1" applyFill="1" applyBorder="1"/>
    <xf numFmtId="0" fontId="5" fillId="0" borderId="5" xfId="1" applyNumberFormat="1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18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6" fillId="0" borderId="5" xfId="9" applyFont="1" applyBorder="1" applyAlignment="1">
      <alignment vertical="center"/>
    </xf>
    <xf numFmtId="0" fontId="5" fillId="0" borderId="5" xfId="0" applyFont="1" applyBorder="1"/>
    <xf numFmtId="0" fontId="5" fillId="0" borderId="6" xfId="8" applyFont="1" applyBorder="1" applyAlignment="1">
      <alignment vertical="center"/>
    </xf>
    <xf numFmtId="166" fontId="5" fillId="0" borderId="5" xfId="1" applyNumberFormat="1" applyFont="1" applyFill="1" applyBorder="1" applyAlignment="1">
      <alignment horizontal="right" vertical="center"/>
    </xf>
    <xf numFmtId="166" fontId="5" fillId="0" borderId="4" xfId="1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vertical="center"/>
    </xf>
    <xf numFmtId="164" fontId="5" fillId="0" borderId="19" xfId="3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vertical="center"/>
    </xf>
    <xf numFmtId="0" fontId="16" fillId="0" borderId="5" xfId="8" applyFont="1" applyBorder="1" applyAlignment="1">
      <alignment vertical="center"/>
    </xf>
    <xf numFmtId="166" fontId="5" fillId="0" borderId="23" xfId="14" applyNumberFormat="1" applyFont="1" applyFill="1" applyBorder="1" applyAlignment="1">
      <alignment vertical="center"/>
    </xf>
    <xf numFmtId="0" fontId="18" fillId="0" borderId="5" xfId="8" applyFont="1" applyBorder="1" applyAlignment="1">
      <alignment vertical="center"/>
    </xf>
    <xf numFmtId="166" fontId="5" fillId="0" borderId="5" xfId="14" applyNumberFormat="1" applyFont="1" applyFill="1" applyBorder="1" applyAlignment="1">
      <alignment horizontal="center" vertical="center"/>
    </xf>
    <xf numFmtId="166" fontId="5" fillId="0" borderId="23" xfId="14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/>
    </xf>
    <xf numFmtId="166" fontId="5" fillId="0" borderId="5" xfId="15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right" vertical="center"/>
    </xf>
    <xf numFmtId="166" fontId="5" fillId="0" borderId="23" xfId="15" applyNumberFormat="1" applyFont="1" applyFill="1" applyBorder="1" applyAlignment="1">
      <alignment horizontal="center" vertical="center"/>
    </xf>
    <xf numFmtId="0" fontId="6" fillId="0" borderId="5" xfId="8" applyFont="1" applyBorder="1" applyAlignment="1">
      <alignment vertical="center"/>
    </xf>
    <xf numFmtId="0" fontId="10" fillId="0" borderId="5" xfId="8" applyFont="1" applyBorder="1" applyAlignment="1">
      <alignment vertical="center"/>
    </xf>
    <xf numFmtId="0" fontId="6" fillId="0" borderId="4" xfId="11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4" fontId="5" fillId="0" borderId="23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5" fillId="0" borderId="20" xfId="2" applyFont="1" applyFill="1" applyBorder="1" applyAlignment="1">
      <alignment horizontal="center" vertical="center"/>
    </xf>
    <xf numFmtId="166" fontId="5" fillId="0" borderId="41" xfId="6" applyNumberFormat="1" applyFont="1" applyFill="1" applyBorder="1" applyAlignment="1">
      <alignment vertical="center"/>
    </xf>
    <xf numFmtId="166" fontId="5" fillId="0" borderId="0" xfId="1" applyNumberFormat="1" applyFont="1" applyBorder="1"/>
    <xf numFmtId="43" fontId="5" fillId="0" borderId="0" xfId="23" applyFont="1"/>
    <xf numFmtId="164" fontId="5" fillId="0" borderId="0" xfId="2" applyFont="1" applyBorder="1"/>
    <xf numFmtId="0" fontId="18" fillId="0" borderId="5" xfId="0" applyFont="1" applyBorder="1" applyAlignment="1">
      <alignment vertical="center"/>
    </xf>
    <xf numFmtId="0" fontId="6" fillId="0" borderId="5" xfId="11" applyFont="1" applyBorder="1" applyAlignment="1">
      <alignment vertical="center"/>
    </xf>
    <xf numFmtId="0" fontId="6" fillId="0" borderId="0" xfId="8" applyFont="1" applyAlignment="1">
      <alignment horizontal="left" vertical="center" indent="2"/>
    </xf>
    <xf numFmtId="164" fontId="5" fillId="0" borderId="19" xfId="3" applyFont="1" applyBorder="1"/>
    <xf numFmtId="164" fontId="5" fillId="0" borderId="0" xfId="3" applyFont="1" applyFill="1" applyBorder="1" applyAlignment="1">
      <alignment horizontal="center" vertical="center"/>
    </xf>
    <xf numFmtId="0" fontId="18" fillId="0" borderId="5" xfId="1" applyNumberFormat="1" applyFont="1" applyFill="1" applyBorder="1" applyAlignment="1">
      <alignment horizontal="left" vertical="center"/>
    </xf>
    <xf numFmtId="9" fontId="18" fillId="0" borderId="5" xfId="24" applyFont="1" applyFill="1" applyBorder="1" applyAlignment="1">
      <alignment vertical="center"/>
    </xf>
    <xf numFmtId="1" fontId="5" fillId="0" borderId="5" xfId="1" applyNumberFormat="1" applyFont="1" applyFill="1" applyBorder="1" applyAlignment="1">
      <alignment horizontal="right" vertical="center"/>
    </xf>
    <xf numFmtId="0" fontId="23" fillId="0" borderId="5" xfId="0" applyFont="1" applyBorder="1" applyAlignment="1">
      <alignment horizontal="left"/>
    </xf>
    <xf numFmtId="0" fontId="24" fillId="0" borderId="0" xfId="7" applyFont="1" applyAlignment="1" applyProtection="1"/>
    <xf numFmtId="0" fontId="6" fillId="0" borderId="3" xfId="11" quotePrefix="1" applyFont="1" applyBorder="1" applyAlignment="1">
      <alignment horizontal="center" vertical="center"/>
    </xf>
    <xf numFmtId="0" fontId="25" fillId="0" borderId="0" xfId="11" applyFont="1"/>
    <xf numFmtId="0" fontId="5" fillId="0" borderId="0" xfId="11" applyFont="1"/>
    <xf numFmtId="0" fontId="13" fillId="0" borderId="0" xfId="11" applyFont="1"/>
    <xf numFmtId="0" fontId="5" fillId="3" borderId="0" xfId="11" applyFont="1" applyFill="1"/>
    <xf numFmtId="0" fontId="25" fillId="3" borderId="0" xfId="11" applyFont="1" applyFill="1"/>
    <xf numFmtId="0" fontId="25" fillId="0" borderId="0" xfId="0" applyFont="1"/>
    <xf numFmtId="0" fontId="6" fillId="0" borderId="4" xfId="1" applyNumberFormat="1" applyFont="1" applyFill="1" applyBorder="1" applyAlignment="1">
      <alignment horizontal="left" vertical="center"/>
    </xf>
    <xf numFmtId="0" fontId="5" fillId="0" borderId="5" xfId="8" applyFont="1" applyBorder="1" applyAlignment="1">
      <alignment horizontal="left" vertical="center"/>
    </xf>
    <xf numFmtId="0" fontId="5" fillId="0" borderId="4" xfId="8" applyFont="1" applyBorder="1" applyAlignment="1">
      <alignment horizontal="right" vertical="center"/>
    </xf>
    <xf numFmtId="166" fontId="5" fillId="0" borderId="5" xfId="25" applyNumberFormat="1" applyFont="1" applyFill="1" applyBorder="1" applyAlignment="1">
      <alignment horizontal="center" vertical="center"/>
    </xf>
    <xf numFmtId="165" fontId="5" fillId="0" borderId="0" xfId="1" applyFont="1"/>
    <xf numFmtId="0" fontId="5" fillId="0" borderId="3" xfId="8" applyFont="1" applyBorder="1" applyAlignment="1">
      <alignment horizontal="right" vertical="center"/>
    </xf>
    <xf numFmtId="0" fontId="18" fillId="0" borderId="5" xfId="0" applyFont="1" applyBorder="1" applyAlignment="1">
      <alignment horizontal="left"/>
    </xf>
    <xf numFmtId="0" fontId="23" fillId="0" borderId="5" xfId="8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1" fillId="0" borderId="0" xfId="7" applyAlignment="1" applyProtection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167" fontId="6" fillId="0" borderId="0" xfId="0" applyNumberFormat="1" applyFont="1" applyAlignment="1">
      <alignment horizontal="left"/>
    </xf>
    <xf numFmtId="166" fontId="12" fillId="0" borderId="21" xfId="1" applyNumberFormat="1" applyFont="1" applyBorder="1" applyAlignment="1">
      <alignment horizontal="center" vertical="center"/>
    </xf>
    <xf numFmtId="166" fontId="12" fillId="0" borderId="22" xfId="1" applyNumberFormat="1" applyFont="1" applyBorder="1" applyAlignment="1">
      <alignment horizontal="center" vertical="center"/>
    </xf>
    <xf numFmtId="166" fontId="12" fillId="0" borderId="11" xfId="1" applyNumberFormat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26">
    <cellStyle name="Comma" xfId="1" builtinId="3"/>
    <cellStyle name="Comma [0]" xfId="2" builtinId="6"/>
    <cellStyle name="Comma [0] 2" xfId="19" xr:uid="{3DB05492-6ED0-436A-B133-CAB9403DE72D}"/>
    <cellStyle name="Comma [0] 2 3" xfId="3" xr:uid="{00000000-0005-0000-0000-000002000000}"/>
    <cellStyle name="Comma [0] 2 3 2" xfId="20" xr:uid="{10DD8F5C-8B55-46FF-87FB-B9B503A4DDC5}"/>
    <cellStyle name="Comma [0] 3" xfId="4" xr:uid="{00000000-0005-0000-0000-000003000000}"/>
    <cellStyle name="Comma [0] 3 2" xfId="21" xr:uid="{59BB49D0-C6EC-41F2-A01A-97FE6C2B9790}"/>
    <cellStyle name="Comma 2" xfId="18" xr:uid="{C4F5D82E-3B13-4595-8C0F-25F51560E550}"/>
    <cellStyle name="Comma 2 2" xfId="15" xr:uid="{00000000-0005-0000-0000-000004000000}"/>
    <cellStyle name="Comma 2 3" xfId="5" xr:uid="{00000000-0005-0000-0000-000005000000}"/>
    <cellStyle name="Comma 2 3 2" xfId="22" xr:uid="{07C01719-DF5F-4C36-BE2B-296CA354D69A}"/>
    <cellStyle name="Comma 3" xfId="6" xr:uid="{00000000-0005-0000-0000-000006000000}"/>
    <cellStyle name="Comma 4" xfId="14" xr:uid="{00000000-0005-0000-0000-000007000000}"/>
    <cellStyle name="Comma 4 2" xfId="25" xr:uid="{3FBC51F9-4E4C-406C-BD75-81FC9CC27F71}"/>
    <cellStyle name="Comma 6" xfId="23" xr:uid="{22D7F553-C3CD-49DB-AE21-771715B269B2}"/>
    <cellStyle name="Hyperlink" xfId="7" builtinId="8"/>
    <cellStyle name="Normal" xfId="0" builtinId="0"/>
    <cellStyle name="Normal 2" xfId="16" xr:uid="{00000000-0005-0000-0000-00000A000000}"/>
    <cellStyle name="Normal 2 2" xfId="8" xr:uid="{00000000-0005-0000-0000-00000B000000}"/>
    <cellStyle name="Normal 2 3" xfId="13" xr:uid="{00000000-0005-0000-0000-00000C000000}"/>
    <cellStyle name="Normal 2 4" xfId="9" xr:uid="{00000000-0005-0000-0000-00000D000000}"/>
    <cellStyle name="Normal 3" xfId="12" xr:uid="{00000000-0005-0000-0000-00000E000000}"/>
    <cellStyle name="Normal 4" xfId="10" xr:uid="{00000000-0005-0000-0000-00000F000000}"/>
    <cellStyle name="Normal 5" xfId="11" xr:uid="{00000000-0005-0000-0000-000010000000}"/>
    <cellStyle name="Normal 9" xfId="17" xr:uid="{00000000-0005-0000-0000-000011000000}"/>
    <cellStyle name="Percent" xfId="2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100241</xdr:colOff>
      <xdr:row>1</xdr:row>
      <xdr:rowOff>111677</xdr:rowOff>
    </xdr:from>
    <xdr:to>
      <xdr:col>6</xdr:col>
      <xdr:colOff>110579</xdr:colOff>
      <xdr:row>4</xdr:row>
      <xdr:rowOff>18143</xdr:rowOff>
    </xdr:to>
    <xdr:pic>
      <xdr:nvPicPr>
        <xdr:cNvPr id="2" name="Picture 440" descr="Logo Caputra - Baru">
          <a:extLst>
            <a:ext uri="{FF2B5EF4-FFF2-40B4-BE49-F238E27FC236}">
              <a16:creationId xmlns:a16="http://schemas.microsoft.com/office/drawing/2014/main" id="{8AF6BB7C-DE4E-4950-9BEC-683DEE077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4" y="311248"/>
          <a:ext cx="4455338" cy="505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414801</xdr:colOff>
      <xdr:row>186</xdr:row>
      <xdr:rowOff>90713</xdr:rowOff>
    </xdr:from>
    <xdr:to>
      <xdr:col>16</xdr:col>
      <xdr:colOff>508001</xdr:colOff>
      <xdr:row>191</xdr:row>
      <xdr:rowOff>208511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E9C64-5A5D-4212-8A83-3381B0AE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64"/>
        <a:stretch/>
      </xdr:blipFill>
      <xdr:spPr>
        <a:xfrm>
          <a:off x="9985158" y="37337999"/>
          <a:ext cx="2279414" cy="1115655"/>
        </a:xfrm>
        <a:prstGeom prst="rect">
          <a:avLst/>
        </a:prstGeom>
      </xdr:spPr>
    </xdr:pic>
    <xdr:clientData/>
  </xdr:twoCellAnchor>
  <xdr:twoCellAnchor editAs="oneCell">
    <xdr:from>
      <xdr:col>16</xdr:col>
      <xdr:colOff>56558</xdr:colOff>
      <xdr:row>1</xdr:row>
      <xdr:rowOff>36287</xdr:rowOff>
    </xdr:from>
    <xdr:to>
      <xdr:col>16</xdr:col>
      <xdr:colOff>958933</xdr:colOff>
      <xdr:row>4</xdr:row>
      <xdr:rowOff>81643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6958AF-4258-476B-9E7A-E9D9FEF9A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813129" y="235858"/>
          <a:ext cx="902375" cy="644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S-ROG\OneDrive\Documents\terbilang\terbilang.xla" TargetMode="External"/><Relationship Id="rId1" Type="http://schemas.openxmlformats.org/officeDocument/2006/relationships/externalLinkPath" Target="file:///C:\Users\CMS-ROG\OneDrive\Documents\terbilang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an@cap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B1:V204"/>
  <sheetViews>
    <sheetView tabSelected="1" view="pageBreakPreview" topLeftCell="A154" zoomScale="70" zoomScaleNormal="70" zoomScaleSheetLayoutView="70" workbookViewId="0">
      <selection activeCell="G175" sqref="G175"/>
    </sheetView>
  </sheetViews>
  <sheetFormatPr defaultColWidth="9.1796875" defaultRowHeight="15.5" x14ac:dyDescent="0.35"/>
  <cols>
    <col min="1" max="1" width="9.1796875" style="7"/>
    <col min="2" max="2" width="3.81640625" style="7" customWidth="1"/>
    <col min="3" max="3" width="6.81640625" style="6" customWidth="1"/>
    <col min="4" max="4" width="26" style="9" customWidth="1"/>
    <col min="5" max="5" width="2.54296875" style="7" customWidth="1"/>
    <col min="6" max="6" width="28.1796875" style="6" customWidth="1"/>
    <col min="7" max="7" width="6.08984375" style="6" customWidth="1"/>
    <col min="8" max="8" width="9.54296875" style="6" customWidth="1"/>
    <col min="9" max="9" width="11.453125" style="6" customWidth="1"/>
    <col min="10" max="10" width="8.6328125" style="7" customWidth="1"/>
    <col min="11" max="11" width="6.1796875" style="6" customWidth="1"/>
    <col min="12" max="12" width="15" style="6" customWidth="1"/>
    <col min="13" max="13" width="3.1796875" style="6" customWidth="1"/>
    <col min="14" max="14" width="8.81640625" style="6" customWidth="1"/>
    <col min="15" max="15" width="8.1796875" style="6" customWidth="1"/>
    <col min="16" max="16" width="14.26953125" style="8" customWidth="1"/>
    <col min="17" max="17" width="14.26953125" style="7" customWidth="1"/>
    <col min="18" max="18" width="15.26953125" style="7" customWidth="1"/>
    <col min="19" max="16384" width="9.1796875" style="7"/>
  </cols>
  <sheetData>
    <row r="1" spans="3:17" ht="16" thickBot="1" x14ac:dyDescent="0.4"/>
    <row r="2" spans="3:17" x14ac:dyDescent="0.3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10"/>
    </row>
    <row r="3" spans="3:17" x14ac:dyDescent="0.35"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1"/>
    </row>
    <row r="4" spans="3:17" x14ac:dyDescent="0.35"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  <c r="Q4" s="11"/>
    </row>
    <row r="5" spans="3:17" x14ac:dyDescent="0.35"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Q5" s="11"/>
    </row>
    <row r="6" spans="3:17" x14ac:dyDescent="0.35">
      <c r="C6" s="3"/>
      <c r="D6" s="41" t="s">
        <v>28</v>
      </c>
      <c r="E6" s="25" t="s">
        <v>2</v>
      </c>
      <c r="F6" s="2"/>
      <c r="G6" s="2"/>
      <c r="H6" s="2"/>
      <c r="I6" s="2"/>
      <c r="J6" s="2"/>
      <c r="L6" s="2" t="s">
        <v>29</v>
      </c>
      <c r="M6" s="25" t="s">
        <v>2</v>
      </c>
      <c r="N6" s="223">
        <v>46164</v>
      </c>
      <c r="O6" s="223"/>
      <c r="P6" s="223"/>
      <c r="Q6" s="33"/>
    </row>
    <row r="7" spans="3:17" x14ac:dyDescent="0.35">
      <c r="C7" s="3"/>
      <c r="D7" s="41" t="s">
        <v>30</v>
      </c>
      <c r="E7" s="25" t="s">
        <v>2</v>
      </c>
      <c r="F7" s="2"/>
      <c r="G7" s="2"/>
      <c r="H7" s="2"/>
      <c r="I7" s="2"/>
      <c r="J7" s="2"/>
      <c r="L7" s="2" t="s">
        <v>31</v>
      </c>
      <c r="M7" s="25" t="s">
        <v>2</v>
      </c>
      <c r="N7" s="41" t="s">
        <v>225</v>
      </c>
      <c r="O7" s="50"/>
      <c r="P7" s="190"/>
      <c r="Q7" s="33"/>
    </row>
    <row r="8" spans="3:17" x14ac:dyDescent="0.35">
      <c r="C8" s="3"/>
      <c r="D8" s="41" t="s">
        <v>32</v>
      </c>
      <c r="E8" s="25" t="s">
        <v>2</v>
      </c>
      <c r="F8" s="201"/>
      <c r="G8" s="42"/>
      <c r="H8" s="42"/>
      <c r="I8" s="42"/>
      <c r="J8" s="42"/>
      <c r="L8" s="2" t="s">
        <v>32</v>
      </c>
      <c r="M8" s="25" t="s">
        <v>2</v>
      </c>
      <c r="N8" s="218" t="s">
        <v>226</v>
      </c>
      <c r="O8" s="50"/>
      <c r="P8" s="190"/>
      <c r="Q8" s="33"/>
    </row>
    <row r="9" spans="3:17" x14ac:dyDescent="0.35">
      <c r="C9" s="3"/>
      <c r="D9" s="41" t="s">
        <v>33</v>
      </c>
      <c r="E9" s="25" t="s">
        <v>2</v>
      </c>
      <c r="F9" s="43"/>
      <c r="G9" s="43"/>
      <c r="H9" s="43"/>
      <c r="I9" s="43"/>
      <c r="J9" s="43"/>
      <c r="L9" s="2" t="s">
        <v>34</v>
      </c>
      <c r="M9" s="25" t="s">
        <v>2</v>
      </c>
      <c r="N9" s="63" t="s">
        <v>228</v>
      </c>
      <c r="O9" s="50"/>
      <c r="P9" s="190"/>
      <c r="Q9" s="33"/>
    </row>
    <row r="10" spans="3:17" x14ac:dyDescent="0.35">
      <c r="C10" s="3"/>
      <c r="D10" s="41"/>
      <c r="E10" s="25"/>
      <c r="F10" s="43"/>
      <c r="G10" s="43"/>
      <c r="H10" s="43"/>
      <c r="I10" s="43"/>
      <c r="J10" s="43"/>
      <c r="L10" s="2"/>
      <c r="M10" s="25"/>
      <c r="N10" s="50"/>
      <c r="O10" s="61"/>
      <c r="P10" s="4"/>
      <c r="Q10" s="33"/>
    </row>
    <row r="11" spans="3:17" x14ac:dyDescent="0.35">
      <c r="C11" s="3"/>
      <c r="D11" s="41" t="s">
        <v>36</v>
      </c>
      <c r="E11" s="25"/>
      <c r="F11" s="62"/>
      <c r="G11" s="43"/>
      <c r="H11" s="43"/>
      <c r="I11" s="43"/>
      <c r="J11" s="43"/>
      <c r="L11" s="57" t="s">
        <v>35</v>
      </c>
      <c r="M11" s="6" t="s">
        <v>2</v>
      </c>
      <c r="N11" s="51"/>
      <c r="O11" s="44"/>
      <c r="P11" s="4"/>
      <c r="Q11" s="33"/>
    </row>
    <row r="12" spans="3:17" ht="10.5" customHeight="1" thickBot="1" x14ac:dyDescent="0.4">
      <c r="C12" s="3"/>
      <c r="D12" s="41"/>
      <c r="E12" s="25"/>
      <c r="F12" s="58"/>
      <c r="G12" s="45"/>
      <c r="H12" s="45"/>
      <c r="I12" s="43"/>
      <c r="J12" s="43"/>
      <c r="L12" s="2"/>
      <c r="M12" s="25"/>
      <c r="N12" s="51"/>
      <c r="O12" s="44"/>
      <c r="P12" s="4"/>
      <c r="Q12" s="33"/>
    </row>
    <row r="13" spans="3:17" ht="32.5" customHeight="1" thickBot="1" x14ac:dyDescent="0.4">
      <c r="C13" s="224" t="s">
        <v>227</v>
      </c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6"/>
    </row>
    <row r="14" spans="3:17" ht="10" customHeight="1" x14ac:dyDescent="0.35">
      <c r="C14" s="5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3"/>
    </row>
    <row r="15" spans="3:17" ht="18" x14ac:dyDescent="0.35">
      <c r="C15" s="54"/>
      <c r="D15" s="55" t="s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11"/>
    </row>
    <row r="16" spans="3:17" x14ac:dyDescent="0.35">
      <c r="C16" s="3"/>
      <c r="D16" s="1" t="s">
        <v>1</v>
      </c>
      <c r="E16" s="48" t="s">
        <v>2</v>
      </c>
      <c r="F16" s="2" t="s">
        <v>167</v>
      </c>
      <c r="G16" s="2"/>
      <c r="H16" s="2"/>
      <c r="I16" s="2"/>
      <c r="L16" s="1" t="s">
        <v>3</v>
      </c>
      <c r="M16" s="48" t="s">
        <v>2</v>
      </c>
      <c r="N16" s="64">
        <v>8</v>
      </c>
      <c r="O16" s="1" t="s">
        <v>100</v>
      </c>
      <c r="Q16" s="11"/>
    </row>
    <row r="17" spans="3:18" x14ac:dyDescent="0.35">
      <c r="C17" s="3"/>
      <c r="D17" s="1" t="s">
        <v>4</v>
      </c>
      <c r="E17" s="48" t="s">
        <v>2</v>
      </c>
      <c r="F17" s="4">
        <v>28</v>
      </c>
      <c r="G17" s="1"/>
      <c r="H17" s="1"/>
      <c r="I17" s="1"/>
      <c r="L17" s="1" t="s">
        <v>55</v>
      </c>
      <c r="M17" s="48" t="s">
        <v>2</v>
      </c>
      <c r="N17" s="4"/>
      <c r="O17" s="1"/>
      <c r="Q17" s="11"/>
    </row>
    <row r="18" spans="3:18" x14ac:dyDescent="0.35">
      <c r="C18" s="3"/>
      <c r="D18" s="1" t="s">
        <v>22</v>
      </c>
      <c r="E18" s="48" t="s">
        <v>2</v>
      </c>
      <c r="F18" s="4"/>
      <c r="G18" s="1"/>
      <c r="H18" s="1"/>
      <c r="I18" s="1"/>
      <c r="L18" s="1" t="s">
        <v>56</v>
      </c>
      <c r="M18" s="48" t="s">
        <v>2</v>
      </c>
      <c r="N18" s="4"/>
      <c r="O18" s="1"/>
      <c r="Q18" s="11"/>
    </row>
    <row r="19" spans="3:18" x14ac:dyDescent="0.35">
      <c r="C19" s="3"/>
      <c r="D19" s="1" t="s">
        <v>5</v>
      </c>
      <c r="E19" s="48" t="s">
        <v>2</v>
      </c>
      <c r="F19" s="4">
        <v>3.8</v>
      </c>
      <c r="G19" s="1"/>
      <c r="H19" s="1"/>
      <c r="I19" s="1"/>
      <c r="L19" s="1" t="s">
        <v>6</v>
      </c>
      <c r="M19" s="48" t="s">
        <v>2</v>
      </c>
      <c r="N19" s="4"/>
      <c r="O19" s="1"/>
      <c r="Q19" s="11"/>
    </row>
    <row r="20" spans="3:18" x14ac:dyDescent="0.35">
      <c r="C20" s="3"/>
      <c r="D20" s="1" t="s">
        <v>7</v>
      </c>
      <c r="E20" s="48" t="s">
        <v>2</v>
      </c>
      <c r="F20" s="4" t="s">
        <v>229</v>
      </c>
      <c r="G20" s="4"/>
      <c r="H20" s="4"/>
      <c r="I20" s="1"/>
      <c r="L20" s="1" t="s">
        <v>8</v>
      </c>
      <c r="M20" s="48" t="s">
        <v>2</v>
      </c>
      <c r="N20" s="4"/>
      <c r="O20" s="56"/>
      <c r="Q20" s="11"/>
    </row>
    <row r="21" spans="3:18" ht="10" customHeight="1" thickBot="1" x14ac:dyDescent="0.4">
      <c r="C21" s="35"/>
      <c r="D21" s="36"/>
      <c r="E21" s="49"/>
      <c r="F21" s="37"/>
      <c r="G21" s="37"/>
      <c r="H21" s="37"/>
      <c r="I21" s="36"/>
      <c r="L21" s="36"/>
      <c r="M21" s="49"/>
      <c r="N21" s="37"/>
      <c r="O21" s="38"/>
      <c r="P21" s="39"/>
      <c r="Q21" s="40"/>
    </row>
    <row r="22" spans="3:18" ht="15.75" customHeight="1" x14ac:dyDescent="0.35">
      <c r="C22" s="227" t="s">
        <v>9</v>
      </c>
      <c r="D22" s="230" t="s">
        <v>10</v>
      </c>
      <c r="E22" s="231"/>
      <c r="F22" s="231"/>
      <c r="G22" s="231"/>
      <c r="H22" s="231"/>
      <c r="I22" s="231"/>
      <c r="J22" s="231"/>
      <c r="K22" s="231"/>
      <c r="L22" s="231"/>
      <c r="M22" s="231"/>
      <c r="N22" s="230" t="s">
        <v>11</v>
      </c>
      <c r="O22" s="236"/>
      <c r="P22" s="12" t="s">
        <v>13</v>
      </c>
      <c r="Q22" s="13"/>
    </row>
    <row r="23" spans="3:18" ht="15.75" customHeight="1" x14ac:dyDescent="0.35">
      <c r="C23" s="228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7"/>
      <c r="O23" s="238"/>
      <c r="P23" s="14" t="s">
        <v>23</v>
      </c>
      <c r="Q23" s="15" t="s">
        <v>24</v>
      </c>
    </row>
    <row r="24" spans="3:18" ht="18.5" thickBot="1" x14ac:dyDescent="0.4">
      <c r="C24" s="229"/>
      <c r="D24" s="234"/>
      <c r="E24" s="235"/>
      <c r="F24" s="235"/>
      <c r="G24" s="235"/>
      <c r="H24" s="235"/>
      <c r="I24" s="235"/>
      <c r="J24" s="235"/>
      <c r="K24" s="235"/>
      <c r="L24" s="235"/>
      <c r="M24" s="235"/>
      <c r="N24" s="5" t="s">
        <v>12</v>
      </c>
      <c r="O24" s="5" t="s">
        <v>13</v>
      </c>
      <c r="P24" s="16" t="s">
        <v>25</v>
      </c>
      <c r="Q24" s="17" t="str">
        <f>+P24</f>
        <v>(Rp)</v>
      </c>
    </row>
    <row r="25" spans="3:18" ht="15.75" customHeight="1" x14ac:dyDescent="0.35">
      <c r="C25" s="79"/>
      <c r="D25" s="80" t="s">
        <v>14</v>
      </c>
      <c r="E25" s="81"/>
      <c r="F25" s="82"/>
      <c r="G25" s="82"/>
      <c r="H25" s="82"/>
      <c r="I25" s="82"/>
      <c r="J25" s="83"/>
      <c r="K25" s="83"/>
      <c r="L25" s="84"/>
      <c r="M25" s="84"/>
      <c r="N25" s="85"/>
      <c r="O25" s="86"/>
      <c r="P25" s="87"/>
      <c r="Q25" s="88"/>
    </row>
    <row r="26" spans="3:18" ht="15.75" customHeight="1" x14ac:dyDescent="0.35">
      <c r="C26" s="89"/>
      <c r="D26" s="90" t="s">
        <v>19</v>
      </c>
      <c r="E26" s="91" t="s">
        <v>2</v>
      </c>
      <c r="F26" s="92"/>
      <c r="G26" s="93"/>
      <c r="H26" s="93"/>
      <c r="I26" s="92"/>
      <c r="J26" s="94"/>
      <c r="K26" s="94"/>
      <c r="L26" s="95"/>
      <c r="M26" s="95"/>
      <c r="N26" s="96"/>
      <c r="O26" s="97"/>
      <c r="P26" s="98"/>
      <c r="Q26" s="99"/>
    </row>
    <row r="27" spans="3:18" ht="15.75" customHeight="1" x14ac:dyDescent="0.35">
      <c r="C27" s="89"/>
      <c r="D27" s="90" t="s">
        <v>20</v>
      </c>
      <c r="E27" s="91" t="s">
        <v>2</v>
      </c>
      <c r="F27" s="92"/>
      <c r="G27" s="92"/>
      <c r="H27" s="92"/>
      <c r="I27" s="100"/>
      <c r="J27" s="94"/>
      <c r="K27" s="94"/>
      <c r="L27" s="95"/>
      <c r="M27" s="95"/>
      <c r="N27" s="96"/>
      <c r="O27" s="97"/>
      <c r="P27" s="98"/>
      <c r="Q27" s="99"/>
    </row>
    <row r="28" spans="3:18" ht="15.75" customHeight="1" x14ac:dyDescent="0.35">
      <c r="C28" s="89"/>
      <c r="D28" s="90"/>
      <c r="E28" s="91"/>
      <c r="F28" s="92"/>
      <c r="G28" s="92"/>
      <c r="H28" s="92"/>
      <c r="I28" s="100"/>
      <c r="J28" s="94"/>
      <c r="K28" s="94"/>
      <c r="L28" s="95"/>
      <c r="M28" s="95"/>
      <c r="N28" s="96"/>
      <c r="O28" s="97"/>
      <c r="P28" s="98"/>
      <c r="Q28" s="99"/>
    </row>
    <row r="29" spans="3:18" ht="15.75" customHeight="1" x14ac:dyDescent="0.35">
      <c r="C29" s="101">
        <v>1</v>
      </c>
      <c r="D29" s="102" t="s">
        <v>70</v>
      </c>
      <c r="E29" s="103"/>
      <c r="F29" s="103"/>
      <c r="G29" s="103"/>
      <c r="H29" s="103"/>
      <c r="I29" s="103"/>
      <c r="J29" s="103"/>
      <c r="K29" s="103"/>
      <c r="L29" s="103"/>
      <c r="M29" s="103"/>
      <c r="N29" s="96"/>
      <c r="O29" s="104"/>
      <c r="P29" s="105"/>
      <c r="Q29" s="106"/>
      <c r="R29" s="75">
        <f>SUM(Q29:Q56)</f>
        <v>107550000</v>
      </c>
    </row>
    <row r="30" spans="3:18" ht="15.75" customHeight="1" x14ac:dyDescent="0.35">
      <c r="C30" s="107" t="s">
        <v>15</v>
      </c>
      <c r="D30" s="108" t="s">
        <v>69</v>
      </c>
      <c r="E30" s="109"/>
      <c r="F30" s="109"/>
      <c r="G30" s="109"/>
      <c r="H30" s="109"/>
      <c r="I30" s="109"/>
      <c r="J30" s="109"/>
      <c r="K30" s="109"/>
      <c r="L30" s="110"/>
      <c r="M30" s="109"/>
      <c r="N30" s="96"/>
      <c r="O30" s="104"/>
      <c r="P30" s="111"/>
      <c r="Q30" s="112"/>
    </row>
    <row r="31" spans="3:18" ht="15.75" customHeight="1" x14ac:dyDescent="0.35">
      <c r="C31" s="107"/>
      <c r="D31" s="108" t="s">
        <v>181</v>
      </c>
      <c r="E31" s="109"/>
      <c r="F31" s="109"/>
      <c r="G31" s="109"/>
      <c r="H31" s="109"/>
      <c r="I31" s="109"/>
      <c r="J31" s="109"/>
      <c r="K31" s="109"/>
      <c r="L31" s="110"/>
      <c r="M31" s="109"/>
      <c r="N31" s="96">
        <v>1</v>
      </c>
      <c r="O31" s="104" t="s">
        <v>18</v>
      </c>
      <c r="P31" s="111">
        <v>28000000</v>
      </c>
      <c r="Q31" s="112">
        <f>+P31*N31</f>
        <v>28000000</v>
      </c>
    </row>
    <row r="32" spans="3:18" ht="15.75" customHeight="1" x14ac:dyDescent="0.35">
      <c r="C32" s="107"/>
      <c r="D32" s="108" t="s">
        <v>182</v>
      </c>
      <c r="E32" s="109"/>
      <c r="F32" s="109"/>
      <c r="G32" s="109"/>
      <c r="H32" s="109"/>
      <c r="I32" s="109"/>
      <c r="J32" s="109"/>
      <c r="K32" s="109"/>
      <c r="L32" s="110"/>
      <c r="M32" s="109"/>
      <c r="N32" s="96">
        <v>2</v>
      </c>
      <c r="O32" s="104" t="s">
        <v>183</v>
      </c>
      <c r="P32" s="111">
        <v>1500000</v>
      </c>
      <c r="Q32" s="112">
        <f>+P32*N32</f>
        <v>3000000</v>
      </c>
    </row>
    <row r="33" spans="3:17" ht="15.75" customHeight="1" x14ac:dyDescent="0.35">
      <c r="C33" s="107"/>
      <c r="D33" s="108" t="s">
        <v>184</v>
      </c>
      <c r="E33" s="109"/>
      <c r="F33" s="109"/>
      <c r="G33" s="109"/>
      <c r="H33" s="109"/>
      <c r="I33" s="109"/>
      <c r="J33" s="109"/>
      <c r="K33" s="109"/>
      <c r="L33" s="110"/>
      <c r="M33" s="109"/>
      <c r="N33" s="96">
        <v>2</v>
      </c>
      <c r="O33" s="104" t="s">
        <v>183</v>
      </c>
      <c r="P33" s="111">
        <v>500000</v>
      </c>
      <c r="Q33" s="112">
        <f>+P33*N33</f>
        <v>1000000</v>
      </c>
    </row>
    <row r="34" spans="3:17" ht="15.75" customHeight="1" x14ac:dyDescent="0.35">
      <c r="C34" s="107" t="s">
        <v>16</v>
      </c>
      <c r="D34" s="108" t="s">
        <v>49</v>
      </c>
      <c r="E34" s="113"/>
      <c r="F34" s="113"/>
      <c r="G34" s="113"/>
      <c r="H34" s="113"/>
      <c r="I34" s="109"/>
      <c r="J34" s="109"/>
      <c r="K34" s="109"/>
      <c r="L34" s="110"/>
      <c r="M34" s="109"/>
      <c r="N34" s="96"/>
      <c r="O34" s="104"/>
      <c r="P34" s="111"/>
      <c r="Q34" s="112"/>
    </row>
    <row r="35" spans="3:17" ht="15.75" customHeight="1" x14ac:dyDescent="0.35">
      <c r="C35" s="107"/>
      <c r="D35" s="114" t="s">
        <v>158</v>
      </c>
      <c r="E35" s="113"/>
      <c r="F35" s="113"/>
      <c r="G35" s="113"/>
      <c r="H35" s="113"/>
      <c r="I35" s="109"/>
      <c r="J35" s="109"/>
      <c r="K35" s="109"/>
      <c r="L35" s="110"/>
      <c r="M35" s="109"/>
      <c r="N35" s="96">
        <v>14</v>
      </c>
      <c r="O35" s="104" t="s">
        <v>21</v>
      </c>
      <c r="P35" s="111">
        <v>2500000</v>
      </c>
      <c r="Q35" s="112">
        <f>+P35*N35</f>
        <v>35000000</v>
      </c>
    </row>
    <row r="36" spans="3:17" ht="15.75" customHeight="1" x14ac:dyDescent="0.35">
      <c r="C36" s="107"/>
      <c r="D36" s="114" t="s">
        <v>57</v>
      </c>
      <c r="E36" s="113"/>
      <c r="F36" s="113"/>
      <c r="G36" s="113"/>
      <c r="H36" s="113"/>
      <c r="I36" s="109"/>
      <c r="J36" s="109"/>
      <c r="K36" s="109"/>
      <c r="L36" s="110"/>
      <c r="M36" s="109"/>
      <c r="N36" s="96">
        <f>N35</f>
        <v>14</v>
      </c>
      <c r="O36" s="104" t="s">
        <v>21</v>
      </c>
      <c r="P36" s="111">
        <v>200000</v>
      </c>
      <c r="Q36" s="112">
        <f t="shared" ref="Q36:Q40" si="0">+P36*N36</f>
        <v>2800000</v>
      </c>
    </row>
    <row r="37" spans="3:17" ht="15.75" customHeight="1" x14ac:dyDescent="0.35">
      <c r="C37" s="107"/>
      <c r="D37" s="114" t="s">
        <v>58</v>
      </c>
      <c r="E37" s="113"/>
      <c r="F37" s="113"/>
      <c r="G37" s="113"/>
      <c r="H37" s="113"/>
      <c r="I37" s="109"/>
      <c r="J37" s="109"/>
      <c r="K37" s="109"/>
      <c r="L37" s="110"/>
      <c r="M37" s="104"/>
      <c r="N37" s="96">
        <f>N36</f>
        <v>14</v>
      </c>
      <c r="O37" s="104" t="s">
        <v>21</v>
      </c>
      <c r="P37" s="111">
        <v>150000</v>
      </c>
      <c r="Q37" s="112">
        <f t="shared" si="0"/>
        <v>2100000</v>
      </c>
    </row>
    <row r="38" spans="3:17" ht="15.75" customHeight="1" x14ac:dyDescent="0.35">
      <c r="C38" s="107"/>
      <c r="D38" s="114" t="s">
        <v>59</v>
      </c>
      <c r="E38" s="113"/>
      <c r="F38" s="113"/>
      <c r="G38" s="113"/>
      <c r="H38" s="113"/>
      <c r="I38" s="109"/>
      <c r="J38" s="109"/>
      <c r="K38" s="109"/>
      <c r="L38" s="110"/>
      <c r="M38" s="109"/>
      <c r="N38" s="96">
        <f>N37</f>
        <v>14</v>
      </c>
      <c r="O38" s="104" t="s">
        <v>21</v>
      </c>
      <c r="P38" s="111">
        <v>50000</v>
      </c>
      <c r="Q38" s="112">
        <f t="shared" si="0"/>
        <v>700000</v>
      </c>
    </row>
    <row r="39" spans="3:17" ht="15.75" customHeight="1" x14ac:dyDescent="0.35">
      <c r="C39" s="107"/>
      <c r="D39" s="115" t="s">
        <v>60</v>
      </c>
      <c r="E39" s="113"/>
      <c r="F39" s="113"/>
      <c r="G39" s="113"/>
      <c r="H39" s="113"/>
      <c r="I39" s="109"/>
      <c r="J39" s="109"/>
      <c r="K39" s="109"/>
      <c r="L39" s="110"/>
      <c r="M39" s="109"/>
      <c r="N39" s="96">
        <f>N38</f>
        <v>14</v>
      </c>
      <c r="O39" s="104" t="s">
        <v>21</v>
      </c>
      <c r="P39" s="111">
        <v>100000</v>
      </c>
      <c r="Q39" s="112">
        <f t="shared" si="0"/>
        <v>1400000</v>
      </c>
    </row>
    <row r="40" spans="3:17" ht="15.75" customHeight="1" x14ac:dyDescent="0.35">
      <c r="C40" s="107"/>
      <c r="D40" s="114" t="s">
        <v>43</v>
      </c>
      <c r="E40" s="116"/>
      <c r="F40" s="117"/>
      <c r="G40" s="117"/>
      <c r="H40" s="117"/>
      <c r="I40" s="109"/>
      <c r="J40" s="109"/>
      <c r="K40" s="109"/>
      <c r="L40" s="110"/>
      <c r="M40" s="109"/>
      <c r="N40" s="96">
        <f>N39</f>
        <v>14</v>
      </c>
      <c r="O40" s="104" t="s">
        <v>21</v>
      </c>
      <c r="P40" s="111">
        <v>50000</v>
      </c>
      <c r="Q40" s="112">
        <f t="shared" si="0"/>
        <v>700000</v>
      </c>
    </row>
    <row r="41" spans="3:17" ht="15.75" customHeight="1" x14ac:dyDescent="0.35">
      <c r="C41" s="107" t="s">
        <v>26</v>
      </c>
      <c r="D41" s="108" t="s">
        <v>51</v>
      </c>
      <c r="E41" s="116"/>
      <c r="F41" s="117"/>
      <c r="G41" s="117"/>
      <c r="H41" s="117"/>
      <c r="I41" s="109"/>
      <c r="J41" s="109"/>
      <c r="K41" s="109"/>
      <c r="L41" s="110"/>
      <c r="M41" s="109"/>
      <c r="N41" s="96"/>
      <c r="O41" s="104"/>
      <c r="P41" s="111"/>
      <c r="Q41" s="112"/>
    </row>
    <row r="42" spans="3:17" ht="15.75" customHeight="1" x14ac:dyDescent="0.35">
      <c r="C42" s="107"/>
      <c r="D42" s="114" t="s">
        <v>186</v>
      </c>
      <c r="E42" s="113"/>
      <c r="F42" s="113"/>
      <c r="G42" s="113"/>
      <c r="H42" s="113"/>
      <c r="I42" s="109"/>
      <c r="J42" s="109"/>
      <c r="K42" s="109"/>
      <c r="L42" s="110"/>
      <c r="M42" s="109"/>
      <c r="N42" s="96">
        <v>3</v>
      </c>
      <c r="O42" s="104" t="s">
        <v>21</v>
      </c>
      <c r="P42" s="111">
        <v>750000</v>
      </c>
      <c r="Q42" s="112">
        <f>+P42*N42</f>
        <v>2250000</v>
      </c>
    </row>
    <row r="43" spans="3:17" ht="15.75" customHeight="1" x14ac:dyDescent="0.35">
      <c r="C43" s="107"/>
      <c r="D43" s="114" t="s">
        <v>57</v>
      </c>
      <c r="E43" s="113"/>
      <c r="F43" s="113"/>
      <c r="G43" s="113"/>
      <c r="H43" s="113"/>
      <c r="I43" s="109"/>
      <c r="J43" s="109"/>
      <c r="K43" s="109"/>
      <c r="L43" s="110"/>
      <c r="M43" s="109"/>
      <c r="N43" s="96">
        <f>N42</f>
        <v>3</v>
      </c>
      <c r="O43" s="104" t="s">
        <v>21</v>
      </c>
      <c r="P43" s="111">
        <v>200000</v>
      </c>
      <c r="Q43" s="112">
        <f t="shared" ref="Q43:Q46" si="1">+P43*N43</f>
        <v>600000</v>
      </c>
    </row>
    <row r="44" spans="3:17" ht="15.75" customHeight="1" x14ac:dyDescent="0.35">
      <c r="C44" s="107"/>
      <c r="D44" s="114" t="s">
        <v>50</v>
      </c>
      <c r="E44" s="113"/>
      <c r="F44" s="113"/>
      <c r="G44" s="113"/>
      <c r="H44" s="113"/>
      <c r="I44" s="109"/>
      <c r="J44" s="109"/>
      <c r="K44" s="109"/>
      <c r="L44" s="110"/>
      <c r="M44" s="104"/>
      <c r="N44" s="96">
        <f>N43</f>
        <v>3</v>
      </c>
      <c r="O44" s="104" t="s">
        <v>21</v>
      </c>
      <c r="P44" s="111">
        <v>150000</v>
      </c>
      <c r="Q44" s="112">
        <f t="shared" si="1"/>
        <v>450000</v>
      </c>
    </row>
    <row r="45" spans="3:17" ht="15.75" customHeight="1" x14ac:dyDescent="0.35">
      <c r="C45" s="107"/>
      <c r="D45" s="115" t="s">
        <v>60</v>
      </c>
      <c r="E45" s="113"/>
      <c r="F45" s="113"/>
      <c r="G45" s="113"/>
      <c r="H45" s="113"/>
      <c r="I45" s="109"/>
      <c r="J45" s="109"/>
      <c r="K45" s="109"/>
      <c r="L45" s="110"/>
      <c r="M45" s="109"/>
      <c r="N45" s="96">
        <f>N44</f>
        <v>3</v>
      </c>
      <c r="O45" s="104" t="s">
        <v>21</v>
      </c>
      <c r="P45" s="111">
        <v>100000</v>
      </c>
      <c r="Q45" s="112">
        <f t="shared" si="1"/>
        <v>300000</v>
      </c>
    </row>
    <row r="46" spans="3:17" ht="15.75" customHeight="1" x14ac:dyDescent="0.35">
      <c r="C46" s="107"/>
      <c r="D46" s="114" t="s">
        <v>185</v>
      </c>
      <c r="E46" s="116"/>
      <c r="F46" s="117"/>
      <c r="G46" s="117"/>
      <c r="H46" s="117"/>
      <c r="I46" s="109"/>
      <c r="J46" s="109"/>
      <c r="K46" s="109"/>
      <c r="L46" s="110"/>
      <c r="M46" s="109"/>
      <c r="N46" s="96">
        <f>N45</f>
        <v>3</v>
      </c>
      <c r="O46" s="104" t="s">
        <v>21</v>
      </c>
      <c r="P46" s="111">
        <v>50000</v>
      </c>
      <c r="Q46" s="112">
        <f t="shared" si="1"/>
        <v>150000</v>
      </c>
    </row>
    <row r="47" spans="3:17" ht="15.75" customHeight="1" x14ac:dyDescent="0.35">
      <c r="C47" s="107" t="s">
        <v>27</v>
      </c>
      <c r="D47" s="114" t="s">
        <v>188</v>
      </c>
      <c r="E47" s="116"/>
      <c r="F47" s="117"/>
      <c r="G47" s="117"/>
      <c r="H47" s="117"/>
      <c r="I47" s="109"/>
      <c r="J47" s="109"/>
      <c r="K47" s="109"/>
      <c r="L47" s="110"/>
      <c r="M47" s="109"/>
      <c r="N47" s="96"/>
      <c r="O47" s="104"/>
      <c r="P47" s="111"/>
      <c r="Q47" s="112"/>
    </row>
    <row r="48" spans="3:17" ht="15.75" customHeight="1" x14ac:dyDescent="0.35">
      <c r="C48" s="107"/>
      <c r="D48" s="109" t="s">
        <v>143</v>
      </c>
      <c r="E48" s="116"/>
      <c r="F48" s="117"/>
      <c r="G48" s="117"/>
      <c r="H48" s="117"/>
      <c r="I48" s="109"/>
      <c r="J48" s="109"/>
      <c r="K48" s="109"/>
      <c r="L48" s="110"/>
      <c r="M48" s="109"/>
      <c r="N48" s="96">
        <v>2</v>
      </c>
      <c r="O48" s="104" t="s">
        <v>37</v>
      </c>
      <c r="P48" s="111">
        <v>150000</v>
      </c>
      <c r="Q48" s="112">
        <f>+P48*N48</f>
        <v>300000</v>
      </c>
    </row>
    <row r="49" spans="3:19" ht="15.75" customHeight="1" x14ac:dyDescent="0.35">
      <c r="C49" s="107"/>
      <c r="D49" s="109" t="s">
        <v>144</v>
      </c>
      <c r="E49" s="116"/>
      <c r="F49" s="117"/>
      <c r="G49" s="117"/>
      <c r="H49" s="117"/>
      <c r="I49" s="109"/>
      <c r="J49" s="109"/>
      <c r="K49" s="109"/>
      <c r="L49" s="110"/>
      <c r="M49" s="109"/>
      <c r="N49" s="96">
        <v>3000</v>
      </c>
      <c r="O49" s="104" t="s">
        <v>230</v>
      </c>
      <c r="P49" s="111">
        <v>3500</v>
      </c>
      <c r="Q49" s="112">
        <f>+P49*N49</f>
        <v>10500000</v>
      </c>
    </row>
    <row r="50" spans="3:19" ht="15" customHeight="1" x14ac:dyDescent="0.35">
      <c r="C50" s="107" t="s">
        <v>42</v>
      </c>
      <c r="D50" s="122" t="s">
        <v>139</v>
      </c>
      <c r="E50" s="91"/>
      <c r="F50" s="109"/>
      <c r="G50" s="103"/>
      <c r="H50" s="123"/>
      <c r="I50" s="103"/>
      <c r="J50" s="103"/>
      <c r="K50" s="103"/>
      <c r="L50" s="103"/>
      <c r="M50" s="95"/>
      <c r="N50" s="121">
        <v>2</v>
      </c>
      <c r="O50" s="104" t="s">
        <v>140</v>
      </c>
      <c r="P50" s="124">
        <v>250000</v>
      </c>
      <c r="Q50" s="106">
        <f>P50*N50</f>
        <v>500000</v>
      </c>
    </row>
    <row r="51" spans="3:19" ht="15" customHeight="1" x14ac:dyDescent="0.35">
      <c r="C51" s="107" t="s">
        <v>44</v>
      </c>
      <c r="D51" s="122" t="s">
        <v>174</v>
      </c>
      <c r="E51" s="91"/>
      <c r="F51" s="109"/>
      <c r="G51" s="103"/>
      <c r="H51" s="123"/>
      <c r="I51" s="192"/>
      <c r="J51" s="103"/>
      <c r="K51" s="157" t="s">
        <v>48</v>
      </c>
      <c r="L51" s="103"/>
      <c r="M51" s="95"/>
      <c r="N51" s="121">
        <v>1</v>
      </c>
      <c r="O51" s="104" t="s">
        <v>187</v>
      </c>
      <c r="P51" s="124">
        <v>1500000</v>
      </c>
      <c r="Q51" s="106">
        <f t="shared" ref="Q51" si="2">P51*N51</f>
        <v>1500000</v>
      </c>
    </row>
    <row r="52" spans="3:19" x14ac:dyDescent="0.35">
      <c r="C52" s="107" t="s">
        <v>98</v>
      </c>
      <c r="D52" s="122" t="s">
        <v>73</v>
      </c>
      <c r="E52" s="103"/>
      <c r="F52" s="103"/>
      <c r="G52" s="103"/>
      <c r="H52" s="103"/>
      <c r="I52" s="103"/>
      <c r="J52" s="103"/>
      <c r="K52" s="157" t="s">
        <v>48</v>
      </c>
      <c r="L52" s="103"/>
      <c r="M52" s="103"/>
      <c r="N52" s="96">
        <v>10</v>
      </c>
      <c r="O52" s="97" t="s">
        <v>74</v>
      </c>
      <c r="P52" s="127">
        <v>175000</v>
      </c>
      <c r="Q52" s="128">
        <f>N52*P52</f>
        <v>1750000</v>
      </c>
    </row>
    <row r="53" spans="3:19" ht="15" customHeight="1" x14ac:dyDescent="0.35">
      <c r="C53" s="107" t="s">
        <v>110</v>
      </c>
      <c r="D53" s="122" t="s">
        <v>145</v>
      </c>
      <c r="E53" s="91"/>
      <c r="F53" s="109"/>
      <c r="G53" s="103"/>
      <c r="H53" s="123"/>
      <c r="I53" s="103"/>
      <c r="J53" s="103"/>
      <c r="K53" s="103"/>
      <c r="L53" s="103"/>
      <c r="M53" s="95"/>
      <c r="N53" s="121">
        <v>1</v>
      </c>
      <c r="O53" s="104" t="s">
        <v>18</v>
      </c>
      <c r="P53" s="124">
        <v>3000000</v>
      </c>
      <c r="Q53" s="106">
        <f>P53*N53</f>
        <v>3000000</v>
      </c>
    </row>
    <row r="54" spans="3:19" ht="15.75" customHeight="1" x14ac:dyDescent="0.35">
      <c r="C54" s="107" t="s">
        <v>141</v>
      </c>
      <c r="D54" s="114" t="s">
        <v>175</v>
      </c>
      <c r="E54" s="116"/>
      <c r="F54" s="117"/>
      <c r="G54" s="117"/>
      <c r="H54" s="117"/>
      <c r="I54" s="125" t="s">
        <v>168</v>
      </c>
      <c r="J54" s="109"/>
      <c r="K54" s="109"/>
      <c r="L54" s="110"/>
      <c r="M54" s="109"/>
      <c r="N54" s="96">
        <f>N40+N44</f>
        <v>17</v>
      </c>
      <c r="O54" s="104" t="s">
        <v>21</v>
      </c>
      <c r="P54" s="111">
        <v>350000</v>
      </c>
      <c r="Q54" s="112">
        <f>+P54*N54</f>
        <v>5950000</v>
      </c>
    </row>
    <row r="55" spans="3:19" ht="15.75" customHeight="1" x14ac:dyDescent="0.35">
      <c r="C55" s="107" t="s">
        <v>142</v>
      </c>
      <c r="D55" s="114" t="s">
        <v>76</v>
      </c>
      <c r="E55" s="116"/>
      <c r="F55" s="117"/>
      <c r="G55" s="117"/>
      <c r="H55" s="117"/>
      <c r="I55" s="109"/>
      <c r="J55" s="109"/>
      <c r="K55" s="109"/>
      <c r="L55" s="110"/>
      <c r="M55" s="109"/>
      <c r="N55" s="96">
        <f>N40</f>
        <v>14</v>
      </c>
      <c r="O55" s="104" t="s">
        <v>21</v>
      </c>
      <c r="P55" s="111">
        <v>400000</v>
      </c>
      <c r="Q55" s="112">
        <f>+P55*N55</f>
        <v>5600000</v>
      </c>
    </row>
    <row r="56" spans="3:19" s="8" customFormat="1" ht="15.75" customHeight="1" x14ac:dyDescent="0.35">
      <c r="C56" s="129"/>
      <c r="D56" s="130"/>
      <c r="E56" s="118"/>
      <c r="F56" s="119"/>
      <c r="G56" s="119"/>
      <c r="H56" s="119"/>
      <c r="I56" s="119"/>
      <c r="J56" s="120"/>
      <c r="K56" s="120"/>
      <c r="L56" s="120"/>
      <c r="M56" s="120"/>
      <c r="N56" s="131"/>
      <c r="O56" s="132"/>
      <c r="P56" s="133"/>
      <c r="Q56" s="134"/>
    </row>
    <row r="57" spans="3:19" s="8" customFormat="1" ht="15.75" customHeight="1" x14ac:dyDescent="0.35">
      <c r="C57" s="101">
        <v>2</v>
      </c>
      <c r="D57" s="135" t="s">
        <v>82</v>
      </c>
      <c r="E57" s="120"/>
      <c r="F57" s="120"/>
      <c r="G57" s="120"/>
      <c r="H57" s="120"/>
      <c r="I57" s="120"/>
      <c r="J57" s="120"/>
      <c r="K57" s="120"/>
      <c r="L57" s="120"/>
      <c r="M57" s="120"/>
      <c r="N57" s="131"/>
      <c r="O57" s="132"/>
      <c r="P57" s="133"/>
      <c r="Q57" s="134"/>
      <c r="R57" s="189">
        <f>SUM(Q57:Q82)</f>
        <v>97661000</v>
      </c>
    </row>
    <row r="58" spans="3:19" s="8" customFormat="1" ht="15.75" customHeight="1" x14ac:dyDescent="0.35">
      <c r="C58" s="107" t="s">
        <v>15</v>
      </c>
      <c r="D58" s="136" t="s">
        <v>83</v>
      </c>
      <c r="E58" s="120"/>
      <c r="F58" s="120"/>
      <c r="G58" s="120"/>
      <c r="H58" s="120"/>
      <c r="I58" s="120"/>
      <c r="J58" s="120"/>
      <c r="K58" s="120"/>
      <c r="L58" s="120"/>
      <c r="M58" s="120"/>
      <c r="N58" s="121">
        <v>320</v>
      </c>
      <c r="O58" s="104" t="s">
        <v>84</v>
      </c>
      <c r="P58" s="137">
        <v>20000</v>
      </c>
      <c r="Q58" s="138">
        <f>N58*P58</f>
        <v>6400000</v>
      </c>
      <c r="S58" s="8">
        <f>((F17*2*2)+(N16*2*2)+(F17*N16)*0.8)</f>
        <v>323.20000000000005</v>
      </c>
    </row>
    <row r="59" spans="3:19" s="8" customFormat="1" ht="15.75" customHeight="1" x14ac:dyDescent="0.35">
      <c r="C59" s="107" t="s">
        <v>16</v>
      </c>
      <c r="D59" s="136" t="s">
        <v>85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21">
        <v>455</v>
      </c>
      <c r="O59" s="104" t="s">
        <v>84</v>
      </c>
      <c r="P59" s="139">
        <v>20000</v>
      </c>
      <c r="Q59" s="140">
        <f>P59*N59</f>
        <v>9100000</v>
      </c>
      <c r="S59" s="8">
        <f>((F17*2*F19)+(N16*2*F19)+(F17*N16)*0.8)</f>
        <v>452.79999999999995</v>
      </c>
    </row>
    <row r="60" spans="3:19" s="8" customFormat="1" ht="15.75" customHeight="1" x14ac:dyDescent="0.35">
      <c r="C60" s="107" t="s">
        <v>26</v>
      </c>
      <c r="D60" s="130" t="s">
        <v>126</v>
      </c>
      <c r="E60" s="141"/>
      <c r="F60" s="120"/>
      <c r="G60" s="120"/>
      <c r="H60" s="120"/>
      <c r="I60" s="120"/>
      <c r="J60" s="120"/>
      <c r="K60" s="120"/>
      <c r="L60" s="120"/>
      <c r="M60" s="120"/>
      <c r="N60" s="121"/>
      <c r="O60" s="104"/>
      <c r="P60" s="139"/>
      <c r="Q60" s="140"/>
    </row>
    <row r="61" spans="3:19" s="8" customFormat="1" ht="15.75" customHeight="1" x14ac:dyDescent="0.35">
      <c r="C61" s="107"/>
      <c r="D61" s="142" t="s">
        <v>169</v>
      </c>
      <c r="E61" s="91" t="s">
        <v>17</v>
      </c>
      <c r="F61" s="120" t="s">
        <v>194</v>
      </c>
      <c r="G61" s="199">
        <f>N59</f>
        <v>455</v>
      </c>
      <c r="H61" s="109" t="s">
        <v>84</v>
      </c>
      <c r="I61" s="120"/>
      <c r="J61" s="120"/>
      <c r="K61" s="120"/>
      <c r="L61" s="120"/>
      <c r="M61" s="120"/>
      <c r="N61" s="121">
        <f>G61</f>
        <v>455</v>
      </c>
      <c r="O61" s="104" t="s">
        <v>84</v>
      </c>
      <c r="P61" s="139">
        <v>70000</v>
      </c>
      <c r="Q61" s="140">
        <f>P61*N61</f>
        <v>31850000</v>
      </c>
    </row>
    <row r="62" spans="3:19" s="8" customFormat="1" ht="15.75" customHeight="1" x14ac:dyDescent="0.35">
      <c r="C62" s="107"/>
      <c r="D62" s="142" t="s">
        <v>127</v>
      </c>
      <c r="E62" s="91" t="s">
        <v>17</v>
      </c>
      <c r="F62" s="120" t="s">
        <v>86</v>
      </c>
      <c r="G62" s="199">
        <f>N59-N58</f>
        <v>135</v>
      </c>
      <c r="H62" s="109" t="s">
        <v>84</v>
      </c>
      <c r="I62" s="197" t="s">
        <v>191</v>
      </c>
      <c r="J62" s="198">
        <v>0.7</v>
      </c>
      <c r="K62" s="120"/>
      <c r="L62" s="120"/>
      <c r="M62" s="120"/>
      <c r="N62" s="121">
        <f>G62*J62</f>
        <v>94.5</v>
      </c>
      <c r="O62" s="104" t="s">
        <v>84</v>
      </c>
      <c r="P62" s="139">
        <v>68000</v>
      </c>
      <c r="Q62" s="140">
        <f>P62*N62</f>
        <v>6426000</v>
      </c>
    </row>
    <row r="63" spans="3:19" s="8" customFormat="1" ht="15.75" customHeight="1" x14ac:dyDescent="0.35">
      <c r="C63" s="107"/>
      <c r="D63" s="142"/>
      <c r="E63" s="91"/>
      <c r="F63" s="120"/>
      <c r="G63" s="199"/>
      <c r="H63" s="109"/>
      <c r="I63" s="197" t="s">
        <v>192</v>
      </c>
      <c r="J63" s="198">
        <v>0.3</v>
      </c>
      <c r="K63" s="120"/>
      <c r="L63" s="120"/>
      <c r="M63" s="120"/>
      <c r="N63" s="121">
        <f>G62*J63</f>
        <v>40.5</v>
      </c>
      <c r="O63" s="104" t="s">
        <v>84</v>
      </c>
      <c r="P63" s="139">
        <v>70000</v>
      </c>
      <c r="Q63" s="140">
        <f>P63*N63</f>
        <v>2835000</v>
      </c>
    </row>
    <row r="64" spans="3:19" s="8" customFormat="1" ht="15.75" customHeight="1" x14ac:dyDescent="0.35">
      <c r="C64" s="107"/>
      <c r="D64" s="142" t="s">
        <v>127</v>
      </c>
      <c r="E64" s="91" t="s">
        <v>17</v>
      </c>
      <c r="F64" s="120" t="s">
        <v>190</v>
      </c>
      <c r="G64" s="199">
        <v>50</v>
      </c>
      <c r="H64" s="109" t="s">
        <v>193</v>
      </c>
      <c r="I64" s="197" t="s">
        <v>191</v>
      </c>
      <c r="J64" s="198">
        <v>0.7</v>
      </c>
      <c r="K64" s="120"/>
      <c r="L64" s="120"/>
      <c r="M64" s="120"/>
      <c r="N64" s="121">
        <f>G64*J64</f>
        <v>35</v>
      </c>
      <c r="O64" s="104" t="s">
        <v>84</v>
      </c>
      <c r="P64" s="139">
        <v>68000</v>
      </c>
      <c r="Q64" s="140">
        <f>P64*N64</f>
        <v>2380000</v>
      </c>
    </row>
    <row r="65" spans="3:19" s="8" customFormat="1" ht="15.75" customHeight="1" x14ac:dyDescent="0.35">
      <c r="C65" s="107"/>
      <c r="D65" s="120"/>
      <c r="E65" s="91"/>
      <c r="F65" s="120"/>
      <c r="G65" s="197"/>
      <c r="H65" s="109"/>
      <c r="I65" s="197" t="s">
        <v>192</v>
      </c>
      <c r="J65" s="198">
        <v>0.3</v>
      </c>
      <c r="K65" s="120"/>
      <c r="L65" s="120"/>
      <c r="M65" s="120"/>
      <c r="N65" s="121">
        <f>G64*J65</f>
        <v>15</v>
      </c>
      <c r="O65" s="104" t="s">
        <v>84</v>
      </c>
      <c r="P65" s="139">
        <v>70000</v>
      </c>
      <c r="Q65" s="140">
        <f>P65*N65</f>
        <v>1050000</v>
      </c>
    </row>
    <row r="66" spans="3:19" ht="15.75" customHeight="1" x14ac:dyDescent="0.35">
      <c r="C66" s="107" t="s">
        <v>27</v>
      </c>
      <c r="D66" s="103" t="s">
        <v>87</v>
      </c>
      <c r="E66" s="91" t="s">
        <v>2</v>
      </c>
      <c r="F66" s="200" t="s">
        <v>196</v>
      </c>
      <c r="G66" s="144"/>
      <c r="H66" s="144"/>
      <c r="I66" s="103"/>
      <c r="J66" s="95"/>
      <c r="K66" s="103"/>
      <c r="L66" s="103"/>
      <c r="M66" s="103"/>
      <c r="N66" s="96"/>
      <c r="O66" s="104"/>
      <c r="P66" s="105"/>
      <c r="Q66" s="106"/>
    </row>
    <row r="67" spans="3:19" ht="15.75" customHeight="1" x14ac:dyDescent="0.35">
      <c r="C67" s="107"/>
      <c r="D67" s="103"/>
      <c r="E67" s="91" t="s">
        <v>17</v>
      </c>
      <c r="F67" s="120" t="str">
        <f>F61</f>
        <v>Underwater area</v>
      </c>
      <c r="G67" s="109"/>
      <c r="H67" s="109"/>
      <c r="I67" s="103"/>
      <c r="J67" s="103"/>
      <c r="K67" s="103"/>
      <c r="L67" s="103"/>
      <c r="M67" s="103"/>
      <c r="N67" s="96"/>
      <c r="O67" s="104"/>
      <c r="P67" s="105"/>
      <c r="Q67" s="106"/>
    </row>
    <row r="68" spans="3:19" ht="15.75" customHeight="1" x14ac:dyDescent="0.35">
      <c r="C68" s="107"/>
      <c r="D68" s="103"/>
      <c r="E68" s="91"/>
      <c r="F68" s="109" t="s">
        <v>88</v>
      </c>
      <c r="G68" s="109"/>
      <c r="H68" s="109"/>
      <c r="I68" s="103"/>
      <c r="J68" s="103"/>
      <c r="K68" s="103"/>
      <c r="L68" s="103"/>
      <c r="M68" s="103"/>
      <c r="N68" s="121">
        <f>N61</f>
        <v>455</v>
      </c>
      <c r="O68" s="104" t="s">
        <v>84</v>
      </c>
      <c r="P68" s="105">
        <v>11000</v>
      </c>
      <c r="Q68" s="106">
        <f>P68*N68</f>
        <v>5005000</v>
      </c>
    </row>
    <row r="69" spans="3:19" ht="15.75" customHeight="1" x14ac:dyDescent="0.35">
      <c r="C69" s="107"/>
      <c r="D69" s="103"/>
      <c r="E69" s="91"/>
      <c r="F69" s="103" t="s">
        <v>89</v>
      </c>
      <c r="G69" s="103"/>
      <c r="H69" s="103"/>
      <c r="I69" s="103"/>
      <c r="J69" s="103"/>
      <c r="K69" s="103"/>
      <c r="L69" s="103"/>
      <c r="M69" s="103"/>
      <c r="N69" s="121">
        <f>N68</f>
        <v>455</v>
      </c>
      <c r="O69" s="104" t="s">
        <v>84</v>
      </c>
      <c r="P69" s="105">
        <f>P68</f>
        <v>11000</v>
      </c>
      <c r="Q69" s="106">
        <f>P69*N69</f>
        <v>5005000</v>
      </c>
    </row>
    <row r="70" spans="3:19" ht="15.75" customHeight="1" x14ac:dyDescent="0.35">
      <c r="C70" s="107"/>
      <c r="D70" s="103"/>
      <c r="E70" s="91"/>
      <c r="F70" s="103" t="s">
        <v>90</v>
      </c>
      <c r="G70" s="103"/>
      <c r="H70" s="103"/>
      <c r="I70" s="103"/>
      <c r="J70" s="103"/>
      <c r="K70" s="103"/>
      <c r="L70" s="103"/>
      <c r="M70" s="103"/>
      <c r="N70" s="121">
        <f>N68</f>
        <v>455</v>
      </c>
      <c r="O70" s="104" t="s">
        <v>84</v>
      </c>
      <c r="P70" s="105">
        <f>P69</f>
        <v>11000</v>
      </c>
      <c r="Q70" s="106">
        <f>P70*N70</f>
        <v>5005000</v>
      </c>
    </row>
    <row r="71" spans="3:19" ht="15.75" customHeight="1" x14ac:dyDescent="0.35">
      <c r="C71" s="107"/>
      <c r="D71" s="103"/>
      <c r="E71" s="91" t="s">
        <v>17</v>
      </c>
      <c r="F71" s="109" t="s">
        <v>91</v>
      </c>
      <c r="G71" s="109"/>
      <c r="H71" s="109"/>
      <c r="I71" s="103"/>
      <c r="J71" s="103"/>
      <c r="K71" s="103"/>
      <c r="L71" s="103"/>
      <c r="M71" s="103"/>
      <c r="N71" s="145"/>
      <c r="O71" s="104"/>
      <c r="P71" s="105"/>
      <c r="Q71" s="106"/>
    </row>
    <row r="72" spans="3:19" ht="13.5" customHeight="1" x14ac:dyDescent="0.35">
      <c r="C72" s="107"/>
      <c r="D72" s="103"/>
      <c r="E72" s="91"/>
      <c r="F72" s="109" t="s">
        <v>88</v>
      </c>
      <c r="G72" s="109"/>
      <c r="H72" s="109"/>
      <c r="I72" s="103"/>
      <c r="J72" s="103"/>
      <c r="K72" s="103"/>
      <c r="L72" s="103"/>
      <c r="M72" s="103"/>
      <c r="N72" s="121">
        <f>G62</f>
        <v>135</v>
      </c>
      <c r="O72" s="104" t="s">
        <v>84</v>
      </c>
      <c r="P72" s="105">
        <f>P69</f>
        <v>11000</v>
      </c>
      <c r="Q72" s="106">
        <f t="shared" ref="Q72:Q79" si="3">P72*N72</f>
        <v>1485000</v>
      </c>
    </row>
    <row r="73" spans="3:19" ht="15.75" customHeight="1" x14ac:dyDescent="0.35">
      <c r="C73" s="107"/>
      <c r="D73" s="103"/>
      <c r="E73" s="91"/>
      <c r="F73" s="109" t="s">
        <v>89</v>
      </c>
      <c r="G73" s="109"/>
      <c r="H73" s="109"/>
      <c r="I73" s="103"/>
      <c r="J73" s="103"/>
      <c r="K73" s="103"/>
      <c r="L73" s="103"/>
      <c r="M73" s="103"/>
      <c r="N73" s="121">
        <f>N72</f>
        <v>135</v>
      </c>
      <c r="O73" s="104" t="s">
        <v>84</v>
      </c>
      <c r="P73" s="105">
        <f>P69</f>
        <v>11000</v>
      </c>
      <c r="Q73" s="106">
        <f t="shared" si="3"/>
        <v>1485000</v>
      </c>
    </row>
    <row r="74" spans="3:19" ht="15.75" customHeight="1" x14ac:dyDescent="0.35">
      <c r="C74" s="107"/>
      <c r="D74" s="103"/>
      <c r="E74" s="91"/>
      <c r="F74" s="109" t="s">
        <v>92</v>
      </c>
      <c r="G74" s="109"/>
      <c r="H74" s="109"/>
      <c r="I74" s="103"/>
      <c r="J74" s="103"/>
      <c r="K74" s="103"/>
      <c r="L74" s="103"/>
      <c r="M74" s="103"/>
      <c r="N74" s="121">
        <f>N72</f>
        <v>135</v>
      </c>
      <c r="O74" s="104" t="s">
        <v>84</v>
      </c>
      <c r="P74" s="105">
        <f>P70</f>
        <v>11000</v>
      </c>
      <c r="Q74" s="106">
        <f t="shared" si="3"/>
        <v>1485000</v>
      </c>
    </row>
    <row r="75" spans="3:19" ht="15.75" customHeight="1" x14ac:dyDescent="0.35">
      <c r="C75" s="107"/>
      <c r="D75" s="103"/>
      <c r="E75" s="91" t="s">
        <v>17</v>
      </c>
      <c r="F75" s="120" t="s">
        <v>190</v>
      </c>
      <c r="G75" s="120"/>
      <c r="H75" s="120"/>
      <c r="I75" s="120"/>
      <c r="J75" s="120"/>
      <c r="K75" s="120"/>
      <c r="L75" s="120"/>
      <c r="M75" s="120"/>
      <c r="N75" s="121"/>
      <c r="O75" s="104"/>
      <c r="P75" s="139"/>
      <c r="Q75" s="140"/>
    </row>
    <row r="76" spans="3:19" ht="15.75" customHeight="1" x14ac:dyDescent="0.35">
      <c r="C76" s="107"/>
      <c r="D76" s="103"/>
      <c r="E76" s="91"/>
      <c r="F76" s="109" t="s">
        <v>88</v>
      </c>
      <c r="G76" s="109"/>
      <c r="H76" s="109"/>
      <c r="I76" s="103"/>
      <c r="J76" s="103"/>
      <c r="K76" s="103"/>
      <c r="L76" s="103"/>
      <c r="M76" s="103"/>
      <c r="N76" s="121">
        <f>G64</f>
        <v>50</v>
      </c>
      <c r="O76" s="104" t="s">
        <v>84</v>
      </c>
      <c r="P76" s="105">
        <f>P73</f>
        <v>11000</v>
      </c>
      <c r="Q76" s="106">
        <f t="shared" ref="Q76:Q78" si="4">P76*N76</f>
        <v>550000</v>
      </c>
    </row>
    <row r="77" spans="3:19" ht="15.75" customHeight="1" x14ac:dyDescent="0.35">
      <c r="C77" s="107"/>
      <c r="D77" s="103"/>
      <c r="E77" s="91"/>
      <c r="F77" s="109" t="s">
        <v>89</v>
      </c>
      <c r="G77" s="109"/>
      <c r="H77" s="109"/>
      <c r="I77" s="103"/>
      <c r="J77" s="103"/>
      <c r="K77" s="103"/>
      <c r="L77" s="103"/>
      <c r="M77" s="103"/>
      <c r="N77" s="121">
        <f>N76</f>
        <v>50</v>
      </c>
      <c r="O77" s="104" t="s">
        <v>84</v>
      </c>
      <c r="P77" s="105">
        <f>P73</f>
        <v>11000</v>
      </c>
      <c r="Q77" s="106">
        <f t="shared" si="4"/>
        <v>550000</v>
      </c>
    </row>
    <row r="78" spans="3:19" ht="15.75" customHeight="1" x14ac:dyDescent="0.35">
      <c r="C78" s="107"/>
      <c r="D78" s="103"/>
      <c r="E78" s="91"/>
      <c r="F78" s="109" t="s">
        <v>93</v>
      </c>
      <c r="G78" s="109"/>
      <c r="H78" s="109"/>
      <c r="I78" s="103"/>
      <c r="J78" s="103"/>
      <c r="K78" s="103"/>
      <c r="L78" s="103"/>
      <c r="M78" s="103"/>
      <c r="N78" s="121">
        <f>N76</f>
        <v>50</v>
      </c>
      <c r="O78" s="104" t="s">
        <v>84</v>
      </c>
      <c r="P78" s="105">
        <f>P74</f>
        <v>11000</v>
      </c>
      <c r="Q78" s="106">
        <f t="shared" si="4"/>
        <v>550000</v>
      </c>
    </row>
    <row r="79" spans="3:19" ht="15.75" customHeight="1" x14ac:dyDescent="0.35">
      <c r="C79" s="107" t="s">
        <v>42</v>
      </c>
      <c r="D79" s="109" t="s">
        <v>94</v>
      </c>
      <c r="E79" s="109"/>
      <c r="F79" s="109"/>
      <c r="G79" s="109"/>
      <c r="H79" s="109"/>
      <c r="I79" s="109"/>
      <c r="J79" s="109"/>
      <c r="K79" s="200" t="s">
        <v>196</v>
      </c>
      <c r="L79" s="103"/>
      <c r="M79" s="103"/>
      <c r="N79" s="147">
        <v>1</v>
      </c>
      <c r="O79" s="148" t="s">
        <v>95</v>
      </c>
      <c r="P79" s="77">
        <v>4500000</v>
      </c>
      <c r="Q79" s="149">
        <f t="shared" si="3"/>
        <v>4500000</v>
      </c>
    </row>
    <row r="80" spans="3:19" s="8" customFormat="1" ht="15.75" customHeight="1" x14ac:dyDescent="0.35">
      <c r="C80" s="107" t="s">
        <v>44</v>
      </c>
      <c r="D80" s="120" t="s">
        <v>128</v>
      </c>
      <c r="E80" s="91"/>
      <c r="F80" s="109"/>
      <c r="G80" s="120"/>
      <c r="H80" s="120"/>
      <c r="I80" s="150"/>
      <c r="J80" s="151"/>
      <c r="K80" s="200" t="s">
        <v>195</v>
      </c>
      <c r="L80" s="152"/>
      <c r="M80" s="152"/>
      <c r="N80" s="121">
        <v>30</v>
      </c>
      <c r="O80" s="104" t="s">
        <v>102</v>
      </c>
      <c r="P80" s="153">
        <v>150000</v>
      </c>
      <c r="Q80" s="154">
        <f t="shared" ref="Q80:Q82" si="5">+P80*N80</f>
        <v>4500000</v>
      </c>
      <c r="R80" s="76"/>
      <c r="S80" s="76"/>
    </row>
    <row r="81" spans="3:22" s="8" customFormat="1" ht="15.75" customHeight="1" x14ac:dyDescent="0.35">
      <c r="C81" s="107"/>
      <c r="D81" s="155" t="s">
        <v>146</v>
      </c>
      <c r="E81" s="91"/>
      <c r="F81" s="109"/>
      <c r="G81" s="120"/>
      <c r="H81" s="120"/>
      <c r="I81" s="150"/>
      <c r="J81" s="151"/>
      <c r="K81" s="146"/>
      <c r="L81" s="152"/>
      <c r="M81" s="152"/>
      <c r="N81" s="121">
        <f>N80</f>
        <v>30</v>
      </c>
      <c r="O81" s="104" t="s">
        <v>102</v>
      </c>
      <c r="P81" s="153">
        <v>50000</v>
      </c>
      <c r="Q81" s="154">
        <f t="shared" si="5"/>
        <v>1500000</v>
      </c>
      <c r="R81" s="76"/>
      <c r="S81" s="76"/>
    </row>
    <row r="82" spans="3:22" s="8" customFormat="1" ht="15.75" customHeight="1" x14ac:dyDescent="0.35">
      <c r="C82" s="107"/>
      <c r="D82" s="155" t="s">
        <v>197</v>
      </c>
      <c r="E82" s="91"/>
      <c r="F82" s="109"/>
      <c r="G82" s="120"/>
      <c r="H82" s="120"/>
      <c r="I82" s="150"/>
      <c r="J82" s="151"/>
      <c r="K82" s="200"/>
      <c r="L82" s="152"/>
      <c r="M82" s="152"/>
      <c r="N82" s="121">
        <v>60</v>
      </c>
      <c r="O82" s="104" t="s">
        <v>102</v>
      </c>
      <c r="P82" s="153">
        <v>100000</v>
      </c>
      <c r="Q82" s="195">
        <f t="shared" si="5"/>
        <v>6000000</v>
      </c>
      <c r="R82" s="76"/>
      <c r="S82" s="196"/>
      <c r="T82" s="76"/>
      <c r="U82" s="76"/>
      <c r="V82" s="76"/>
    </row>
    <row r="83" spans="3:22" s="8" customFormat="1" ht="15.75" customHeight="1" x14ac:dyDescent="0.35">
      <c r="C83" s="129"/>
      <c r="D83" s="130"/>
      <c r="E83" s="118"/>
      <c r="F83" s="119"/>
      <c r="G83" s="119"/>
      <c r="H83" s="119"/>
      <c r="I83" s="119"/>
      <c r="J83" s="120"/>
      <c r="K83" s="120"/>
      <c r="L83" s="120"/>
      <c r="M83" s="120"/>
      <c r="N83" s="131"/>
      <c r="O83" s="132"/>
      <c r="P83" s="133"/>
      <c r="Q83" s="134"/>
    </row>
    <row r="84" spans="3:22" s="8" customFormat="1" ht="15.75" customHeight="1" x14ac:dyDescent="0.35">
      <c r="C84" s="101">
        <v>3</v>
      </c>
      <c r="D84" s="209" t="s">
        <v>189</v>
      </c>
      <c r="E84" s="120"/>
      <c r="F84" s="120"/>
      <c r="G84" s="120"/>
      <c r="H84" s="120"/>
      <c r="I84" s="120"/>
      <c r="J84" s="120"/>
      <c r="K84" s="120"/>
      <c r="L84" s="120"/>
      <c r="M84" s="120"/>
      <c r="N84" s="131"/>
      <c r="O84" s="132"/>
      <c r="P84" s="133"/>
      <c r="Q84" s="134"/>
      <c r="R84" s="189">
        <f>SUM(Q84:Q93)</f>
        <v>372000</v>
      </c>
    </row>
    <row r="85" spans="3:22" ht="15.75" customHeight="1" x14ac:dyDescent="0.35">
      <c r="C85" s="107" t="s">
        <v>15</v>
      </c>
      <c r="D85" s="109" t="s">
        <v>96</v>
      </c>
      <c r="E85" s="109"/>
      <c r="F85" s="109"/>
      <c r="G85" s="109"/>
      <c r="H85" s="109"/>
      <c r="I85" s="109"/>
      <c r="J85" s="109"/>
      <c r="K85" s="215" t="s">
        <v>48</v>
      </c>
      <c r="L85" s="103"/>
      <c r="M85" s="103"/>
      <c r="N85" s="147"/>
      <c r="O85" s="148"/>
      <c r="P85" s="78"/>
      <c r="Q85" s="149"/>
    </row>
    <row r="86" spans="3:22" ht="15" customHeight="1" x14ac:dyDescent="0.35">
      <c r="C86" s="107"/>
      <c r="D86" s="157" t="s">
        <v>123</v>
      </c>
      <c r="E86" s="109"/>
      <c r="F86" s="109"/>
      <c r="G86" s="109"/>
      <c r="H86" s="109"/>
      <c r="I86" s="109"/>
      <c r="J86" s="156"/>
      <c r="K86" s="192"/>
      <c r="L86" s="103"/>
      <c r="M86" s="95"/>
      <c r="N86" s="121">
        <v>1</v>
      </c>
      <c r="O86" s="104" t="s">
        <v>97</v>
      </c>
      <c r="P86" s="105">
        <v>35000</v>
      </c>
      <c r="Q86" s="128">
        <f>P86*N86</f>
        <v>35000</v>
      </c>
      <c r="R86" s="191"/>
      <c r="S86" s="191"/>
    </row>
    <row r="87" spans="3:22" ht="15" customHeight="1" x14ac:dyDescent="0.35">
      <c r="C87" s="107"/>
      <c r="D87" s="157" t="s">
        <v>173</v>
      </c>
      <c r="E87" s="109"/>
      <c r="F87" s="109"/>
      <c r="G87" s="109"/>
      <c r="H87" s="109"/>
      <c r="I87" s="109"/>
      <c r="J87" s="156"/>
      <c r="K87" s="192"/>
      <c r="L87" s="103"/>
      <c r="M87" s="95"/>
      <c r="N87" s="121">
        <v>1</v>
      </c>
      <c r="O87" s="104" t="s">
        <v>97</v>
      </c>
      <c r="P87" s="105">
        <v>37000</v>
      </c>
      <c r="Q87" s="128">
        <f>P87*N87</f>
        <v>37000</v>
      </c>
      <c r="R87" s="191"/>
      <c r="S87" s="191"/>
    </row>
    <row r="88" spans="3:22" ht="15" customHeight="1" x14ac:dyDescent="0.35">
      <c r="C88" s="107"/>
      <c r="D88" s="109"/>
      <c r="E88" s="109"/>
      <c r="F88" s="109"/>
      <c r="G88" s="109"/>
      <c r="H88" s="109"/>
      <c r="I88" s="109"/>
      <c r="J88" s="156"/>
      <c r="K88" s="192"/>
      <c r="L88" s="103"/>
      <c r="M88" s="95"/>
      <c r="N88" s="121"/>
      <c r="O88" s="104"/>
      <c r="P88" s="105"/>
      <c r="Q88" s="128"/>
      <c r="R88" s="191"/>
      <c r="S88" s="191"/>
    </row>
    <row r="89" spans="3:22" ht="15" customHeight="1" x14ac:dyDescent="0.35">
      <c r="C89" s="107" t="s">
        <v>16</v>
      </c>
      <c r="D89" s="109" t="s">
        <v>124</v>
      </c>
      <c r="E89" s="109"/>
      <c r="F89" s="109"/>
      <c r="G89" s="109"/>
      <c r="H89" s="109"/>
      <c r="I89" s="109"/>
      <c r="J89" s="156"/>
      <c r="K89" s="192" t="s">
        <v>48</v>
      </c>
      <c r="L89" s="103"/>
      <c r="M89" s="95"/>
      <c r="N89" s="121"/>
      <c r="O89" s="104"/>
      <c r="P89" s="105"/>
      <c r="Q89" s="128"/>
      <c r="R89" s="191"/>
      <c r="S89" s="75"/>
    </row>
    <row r="90" spans="3:22" ht="15" customHeight="1" x14ac:dyDescent="0.35">
      <c r="C90" s="107"/>
      <c r="D90" s="157" t="s">
        <v>123</v>
      </c>
      <c r="E90" s="109"/>
      <c r="F90" s="109"/>
      <c r="G90" s="109"/>
      <c r="H90" s="109"/>
      <c r="I90" s="109"/>
      <c r="J90" s="156"/>
      <c r="K90" s="192"/>
      <c r="L90" s="103"/>
      <c r="M90" s="95"/>
      <c r="N90" s="121">
        <v>1</v>
      </c>
      <c r="O90" s="104" t="s">
        <v>125</v>
      </c>
      <c r="P90" s="105">
        <v>65000</v>
      </c>
      <c r="Q90" s="128">
        <f>P90*N90</f>
        <v>65000</v>
      </c>
      <c r="R90" s="191"/>
      <c r="S90" s="75"/>
    </row>
    <row r="91" spans="3:22" ht="15" customHeight="1" x14ac:dyDescent="0.35">
      <c r="C91" s="107"/>
      <c r="D91" s="157" t="s">
        <v>173</v>
      </c>
      <c r="E91" s="109"/>
      <c r="F91" s="109"/>
      <c r="G91" s="109"/>
      <c r="H91" s="109"/>
      <c r="I91" s="109"/>
      <c r="J91" s="156"/>
      <c r="K91" s="192"/>
      <c r="L91" s="103"/>
      <c r="M91" s="95"/>
      <c r="N91" s="121">
        <v>1</v>
      </c>
      <c r="O91" s="104" t="s">
        <v>125</v>
      </c>
      <c r="P91" s="105">
        <v>85000</v>
      </c>
      <c r="Q91" s="128">
        <f>P91*N91</f>
        <v>85000</v>
      </c>
      <c r="R91" s="191"/>
      <c r="S91" s="75"/>
    </row>
    <row r="92" spans="3:22" ht="15" customHeight="1" x14ac:dyDescent="0.35">
      <c r="C92" s="107"/>
      <c r="D92" s="109"/>
      <c r="E92" s="109"/>
      <c r="F92" s="109"/>
      <c r="G92" s="109"/>
      <c r="H92" s="109"/>
      <c r="I92" s="109"/>
      <c r="J92" s="156"/>
      <c r="K92" s="192"/>
      <c r="L92" s="103"/>
      <c r="M92" s="95"/>
      <c r="N92" s="121"/>
      <c r="O92" s="104"/>
      <c r="P92" s="105"/>
      <c r="Q92" s="128"/>
      <c r="R92" s="191"/>
      <c r="S92" s="75"/>
    </row>
    <row r="93" spans="3:22" ht="15.75" customHeight="1" x14ac:dyDescent="0.35">
      <c r="C93" s="107" t="s">
        <v>26</v>
      </c>
      <c r="D93" s="221" t="s">
        <v>99</v>
      </c>
      <c r="E93" s="222"/>
      <c r="F93" s="222"/>
      <c r="G93" s="222"/>
      <c r="H93" s="222"/>
      <c r="I93" s="222"/>
      <c r="J93" s="109"/>
      <c r="K93" s="215" t="s">
        <v>48</v>
      </c>
      <c r="L93" s="103"/>
      <c r="M93" s="103"/>
      <c r="N93" s="121">
        <v>1</v>
      </c>
      <c r="O93" s="104" t="s">
        <v>100</v>
      </c>
      <c r="P93" s="124">
        <v>150000</v>
      </c>
      <c r="Q93" s="106">
        <f>P93*N93</f>
        <v>150000</v>
      </c>
    </row>
    <row r="94" spans="3:22" ht="15.75" customHeight="1" x14ac:dyDescent="0.35">
      <c r="C94" s="175"/>
      <c r="D94" s="103"/>
      <c r="E94" s="116"/>
      <c r="F94" s="113"/>
      <c r="G94" s="113"/>
      <c r="H94" s="113"/>
      <c r="I94" s="103"/>
      <c r="J94" s="103"/>
      <c r="K94" s="103"/>
      <c r="L94" s="103"/>
      <c r="M94" s="103"/>
      <c r="N94" s="96"/>
      <c r="O94" s="97"/>
      <c r="P94" s="174"/>
      <c r="Q94" s="106"/>
    </row>
    <row r="95" spans="3:22" ht="15.75" customHeight="1" x14ac:dyDescent="0.35">
      <c r="C95" s="173">
        <v>4</v>
      </c>
      <c r="D95" s="179" t="s">
        <v>130</v>
      </c>
      <c r="E95" s="103"/>
      <c r="F95" s="103"/>
      <c r="G95" s="103"/>
      <c r="H95" s="103"/>
      <c r="I95" s="103"/>
      <c r="J95" s="103"/>
      <c r="K95" s="103"/>
      <c r="L95" s="103"/>
      <c r="M95" s="95"/>
      <c r="N95" s="96"/>
      <c r="O95" s="104"/>
      <c r="P95" s="105"/>
      <c r="Q95" s="106"/>
      <c r="R95" s="75">
        <f>SUM(Q97:Q104)</f>
        <v>27000000</v>
      </c>
    </row>
    <row r="96" spans="3:22" ht="15.75" customHeight="1" x14ac:dyDescent="0.35">
      <c r="C96" s="173"/>
      <c r="D96" s="193" t="s">
        <v>177</v>
      </c>
      <c r="E96" s="103"/>
      <c r="F96" s="103"/>
      <c r="G96" s="103"/>
      <c r="H96" s="103"/>
      <c r="I96" s="103"/>
      <c r="J96" s="103"/>
      <c r="K96" s="103"/>
      <c r="L96" s="103"/>
      <c r="M96" s="95"/>
      <c r="N96" s="96"/>
      <c r="O96" s="104"/>
      <c r="P96" s="105"/>
      <c r="Q96" s="106"/>
      <c r="R96" s="75"/>
    </row>
    <row r="97" spans="3:18" ht="15.75" customHeight="1" x14ac:dyDescent="0.35">
      <c r="C97" s="175" t="s">
        <v>15</v>
      </c>
      <c r="D97" s="103" t="s">
        <v>131</v>
      </c>
      <c r="E97" s="180"/>
      <c r="F97" s="103"/>
      <c r="G97" s="103"/>
      <c r="H97" s="103"/>
      <c r="I97" s="103"/>
      <c r="J97" s="103"/>
      <c r="K97" s="157"/>
      <c r="L97" s="181"/>
      <c r="M97" s="95"/>
      <c r="N97" s="96">
        <v>2</v>
      </c>
      <c r="O97" s="97" t="s">
        <v>106</v>
      </c>
      <c r="P97" s="127">
        <v>3500000</v>
      </c>
      <c r="Q97" s="128">
        <f t="shared" ref="Q97:Q109" si="6">N97*P97</f>
        <v>7000000</v>
      </c>
    </row>
    <row r="98" spans="3:18" ht="15.75" customHeight="1" x14ac:dyDescent="0.35">
      <c r="C98" s="175" t="s">
        <v>16</v>
      </c>
      <c r="D98" s="103" t="s">
        <v>132</v>
      </c>
      <c r="E98" s="180"/>
      <c r="F98" s="103"/>
      <c r="G98" s="103"/>
      <c r="H98" s="103"/>
      <c r="I98" s="103"/>
      <c r="J98" s="103"/>
      <c r="K98" s="126"/>
      <c r="L98" s="181"/>
      <c r="M98" s="95"/>
      <c r="N98" s="96">
        <v>2</v>
      </c>
      <c r="O98" s="97" t="s">
        <v>106</v>
      </c>
      <c r="P98" s="127">
        <v>5000000</v>
      </c>
      <c r="Q98" s="128">
        <f t="shared" si="6"/>
        <v>10000000</v>
      </c>
    </row>
    <row r="99" spans="3:18" ht="15.75" customHeight="1" x14ac:dyDescent="0.35">
      <c r="C99" s="175" t="s">
        <v>26</v>
      </c>
      <c r="D99" s="103" t="s">
        <v>151</v>
      </c>
      <c r="E99" s="180"/>
      <c r="F99" s="103"/>
      <c r="G99" s="103"/>
      <c r="H99" s="103"/>
      <c r="I99" s="103"/>
      <c r="J99" s="103"/>
      <c r="K99" s="126"/>
      <c r="L99" s="181"/>
      <c r="M99" s="95"/>
      <c r="N99" s="96">
        <v>2</v>
      </c>
      <c r="O99" s="97" t="s">
        <v>106</v>
      </c>
      <c r="P99" s="127">
        <v>500000</v>
      </c>
      <c r="Q99" s="128">
        <f t="shared" si="6"/>
        <v>1000000</v>
      </c>
    </row>
    <row r="100" spans="3:18" ht="15.75" customHeight="1" x14ac:dyDescent="0.35">
      <c r="C100" s="175" t="s">
        <v>27</v>
      </c>
      <c r="D100" s="103" t="s">
        <v>198</v>
      </c>
      <c r="E100" s="180" t="s">
        <v>2</v>
      </c>
      <c r="F100" s="103" t="s">
        <v>199</v>
      </c>
      <c r="G100" s="103"/>
      <c r="H100" s="103"/>
      <c r="I100" s="103"/>
      <c r="J100" s="103"/>
      <c r="K100" s="126"/>
      <c r="L100" s="181"/>
      <c r="M100" s="95"/>
      <c r="N100" s="96">
        <v>2</v>
      </c>
      <c r="O100" s="97" t="s">
        <v>106</v>
      </c>
      <c r="P100" s="127">
        <v>1000000</v>
      </c>
      <c r="Q100" s="128">
        <f t="shared" si="6"/>
        <v>2000000</v>
      </c>
    </row>
    <row r="101" spans="3:18" ht="15.75" customHeight="1" x14ac:dyDescent="0.35">
      <c r="C101" s="175"/>
      <c r="D101" s="103"/>
      <c r="E101" s="180" t="s">
        <v>2</v>
      </c>
      <c r="F101" s="103" t="s">
        <v>200</v>
      </c>
      <c r="G101" s="103"/>
      <c r="H101" s="103"/>
      <c r="I101" s="103"/>
      <c r="J101" s="103"/>
      <c r="K101" s="200" t="s">
        <v>196</v>
      </c>
      <c r="L101" s="181"/>
      <c r="M101" s="95"/>
      <c r="N101" s="96">
        <v>2</v>
      </c>
      <c r="O101" s="97" t="s">
        <v>106</v>
      </c>
      <c r="P101" s="127">
        <v>500000</v>
      </c>
      <c r="Q101" s="128">
        <f t="shared" si="6"/>
        <v>1000000</v>
      </c>
    </row>
    <row r="102" spans="3:18" ht="15.75" customHeight="1" x14ac:dyDescent="0.35">
      <c r="C102" s="175" t="s">
        <v>42</v>
      </c>
      <c r="D102" s="103" t="s">
        <v>201</v>
      </c>
      <c r="E102" s="180" t="s">
        <v>2</v>
      </c>
      <c r="F102" s="103" t="s">
        <v>199</v>
      </c>
      <c r="G102" s="103"/>
      <c r="H102" s="103"/>
      <c r="I102" s="103"/>
      <c r="J102" s="103"/>
      <c r="K102" s="126"/>
      <c r="L102" s="181"/>
      <c r="M102" s="95"/>
      <c r="N102" s="96">
        <v>2</v>
      </c>
      <c r="O102" s="97" t="s">
        <v>106</v>
      </c>
      <c r="P102" s="127">
        <v>1500000</v>
      </c>
      <c r="Q102" s="128">
        <f t="shared" ref="Q102" si="7">N102*P102</f>
        <v>3000000</v>
      </c>
    </row>
    <row r="103" spans="3:18" ht="15.75" customHeight="1" x14ac:dyDescent="0.35">
      <c r="C103" s="175"/>
      <c r="D103" s="103"/>
      <c r="E103" s="180" t="s">
        <v>2</v>
      </c>
      <c r="F103" s="103" t="s">
        <v>200</v>
      </c>
      <c r="G103" s="103"/>
      <c r="H103" s="103"/>
      <c r="I103" s="103"/>
      <c r="J103" s="103"/>
      <c r="K103" s="200" t="s">
        <v>196</v>
      </c>
      <c r="L103" s="181"/>
      <c r="M103" s="95"/>
      <c r="N103" s="96">
        <v>2</v>
      </c>
      <c r="O103" s="97" t="s">
        <v>106</v>
      </c>
      <c r="P103" s="127">
        <v>1000000</v>
      </c>
      <c r="Q103" s="128">
        <f t="shared" ref="Q103" si="8">N103*P103</f>
        <v>2000000</v>
      </c>
    </row>
    <row r="104" spans="3:18" ht="15.75" customHeight="1" x14ac:dyDescent="0.35">
      <c r="C104" s="175" t="s">
        <v>44</v>
      </c>
      <c r="D104" s="103" t="s">
        <v>152</v>
      </c>
      <c r="E104" s="180"/>
      <c r="F104" s="103"/>
      <c r="G104" s="103"/>
      <c r="H104" s="103"/>
      <c r="I104" s="103"/>
      <c r="J104" s="103"/>
      <c r="K104" s="126"/>
      <c r="L104" s="181"/>
      <c r="M104" s="95"/>
      <c r="N104" s="96">
        <v>2</v>
      </c>
      <c r="O104" s="97" t="s">
        <v>106</v>
      </c>
      <c r="P104" s="127">
        <v>500000</v>
      </c>
      <c r="Q104" s="128">
        <f>N104*P104</f>
        <v>1000000</v>
      </c>
    </row>
    <row r="105" spans="3:18" ht="15.75" customHeight="1" x14ac:dyDescent="0.35">
      <c r="C105" s="175"/>
      <c r="D105" s="103"/>
      <c r="E105" s="180"/>
      <c r="F105" s="103"/>
      <c r="G105" s="103"/>
      <c r="H105" s="103"/>
      <c r="I105" s="103"/>
      <c r="J105" s="103"/>
      <c r="K105" s="126"/>
      <c r="L105" s="181"/>
      <c r="M105" s="95"/>
      <c r="N105" s="96"/>
      <c r="O105" s="97"/>
      <c r="P105" s="127"/>
      <c r="Q105" s="128"/>
    </row>
    <row r="106" spans="3:18" ht="15.75" customHeight="1" x14ac:dyDescent="0.35">
      <c r="C106" s="175"/>
      <c r="D106" s="95" t="s">
        <v>178</v>
      </c>
      <c r="E106" s="180"/>
      <c r="F106" s="103"/>
      <c r="G106" s="103"/>
      <c r="H106" s="103"/>
      <c r="I106" s="103"/>
      <c r="J106" s="103"/>
      <c r="K106" s="157"/>
      <c r="L106" s="181"/>
      <c r="M106" s="95"/>
      <c r="N106" s="96"/>
      <c r="O106" s="97"/>
      <c r="P106" s="127"/>
      <c r="Q106" s="128"/>
      <c r="R106" s="75">
        <f>SUM(Q107:Q109)</f>
        <v>7000000</v>
      </c>
    </row>
    <row r="107" spans="3:18" ht="15.75" customHeight="1" x14ac:dyDescent="0.35">
      <c r="C107" s="175" t="s">
        <v>15</v>
      </c>
      <c r="D107" s="103" t="s">
        <v>133</v>
      </c>
      <c r="E107" s="180"/>
      <c r="F107" s="103"/>
      <c r="G107" s="103"/>
      <c r="H107" s="103"/>
      <c r="I107" s="103"/>
      <c r="J107" s="103"/>
      <c r="K107" s="157"/>
      <c r="L107" s="181"/>
      <c r="M107" s="95"/>
      <c r="N107" s="96">
        <v>1</v>
      </c>
      <c r="O107" s="97" t="s">
        <v>18</v>
      </c>
      <c r="P107" s="127">
        <v>4000000</v>
      </c>
      <c r="Q107" s="128">
        <f t="shared" si="6"/>
        <v>4000000</v>
      </c>
    </row>
    <row r="108" spans="3:18" ht="15.75" customHeight="1" x14ac:dyDescent="0.35">
      <c r="C108" s="107" t="s">
        <v>16</v>
      </c>
      <c r="D108" s="103" t="s">
        <v>176</v>
      </c>
      <c r="E108" s="180"/>
      <c r="F108" s="103"/>
      <c r="G108" s="103"/>
      <c r="H108" s="103"/>
      <c r="I108" s="103"/>
      <c r="J108" s="103"/>
      <c r="K108" s="200" t="s">
        <v>196</v>
      </c>
      <c r="L108" s="181"/>
      <c r="M108" s="95"/>
      <c r="N108" s="96">
        <v>1</v>
      </c>
      <c r="O108" s="97" t="s">
        <v>18</v>
      </c>
      <c r="P108" s="127">
        <v>2000000</v>
      </c>
      <c r="Q108" s="128">
        <f t="shared" si="6"/>
        <v>2000000</v>
      </c>
    </row>
    <row r="109" spans="3:18" ht="15.75" customHeight="1" x14ac:dyDescent="0.35">
      <c r="C109" s="175" t="s">
        <v>26</v>
      </c>
      <c r="D109" s="103" t="s">
        <v>134</v>
      </c>
      <c r="E109" s="180"/>
      <c r="F109" s="103"/>
      <c r="G109" s="103"/>
      <c r="H109" s="103"/>
      <c r="I109" s="103"/>
      <c r="J109" s="103"/>
      <c r="K109" s="192" t="s">
        <v>48</v>
      </c>
      <c r="L109" s="181"/>
      <c r="M109" s="95"/>
      <c r="N109" s="96">
        <v>1</v>
      </c>
      <c r="O109" s="104" t="s">
        <v>74</v>
      </c>
      <c r="P109" s="105">
        <v>1000000</v>
      </c>
      <c r="Q109" s="128">
        <f t="shared" si="6"/>
        <v>1000000</v>
      </c>
    </row>
    <row r="110" spans="3:18" ht="15.75" customHeight="1" x14ac:dyDescent="0.35">
      <c r="C110" s="107"/>
      <c r="D110" s="103"/>
      <c r="E110" s="103"/>
      <c r="F110" s="160"/>
      <c r="G110" s="160"/>
      <c r="H110" s="160"/>
      <c r="I110" s="103"/>
      <c r="J110" s="103"/>
      <c r="K110" s="103"/>
      <c r="L110" s="103"/>
      <c r="M110" s="103"/>
      <c r="N110" s="121"/>
      <c r="O110" s="161"/>
      <c r="P110" s="164"/>
      <c r="Q110" s="165"/>
    </row>
    <row r="111" spans="3:18" ht="15.75" customHeight="1" x14ac:dyDescent="0.35">
      <c r="C111" s="166">
        <v>5</v>
      </c>
      <c r="D111" s="95" t="s">
        <v>103</v>
      </c>
      <c r="E111" s="103"/>
      <c r="F111" s="160"/>
      <c r="G111" s="160"/>
      <c r="H111" s="160"/>
      <c r="I111" s="103"/>
      <c r="J111" s="103"/>
      <c r="K111" s="215" t="s">
        <v>48</v>
      </c>
      <c r="L111" s="103"/>
      <c r="M111" s="103"/>
      <c r="N111" s="121"/>
      <c r="O111" s="161"/>
      <c r="P111" s="167"/>
      <c r="Q111" s="165"/>
      <c r="R111" s="75">
        <f>SUM(Q112:Q118)</f>
        <v>13250000</v>
      </c>
    </row>
    <row r="112" spans="3:18" ht="15.75" customHeight="1" x14ac:dyDescent="0.35">
      <c r="C112" s="107" t="s">
        <v>15</v>
      </c>
      <c r="D112" s="103" t="s">
        <v>104</v>
      </c>
      <c r="E112" s="103"/>
      <c r="F112" s="160"/>
      <c r="G112" s="160"/>
      <c r="H112" s="160"/>
      <c r="I112" s="103"/>
      <c r="J112" s="103"/>
      <c r="K112" s="103"/>
      <c r="L112" s="103"/>
      <c r="M112" s="103"/>
      <c r="N112" s="121">
        <v>10</v>
      </c>
      <c r="O112" s="161" t="s">
        <v>102</v>
      </c>
      <c r="P112" s="167">
        <v>350000</v>
      </c>
      <c r="Q112" s="165">
        <f t="shared" ref="Q112:Q114" si="9">N112*P112</f>
        <v>3500000</v>
      </c>
    </row>
    <row r="113" spans="3:22" ht="15.75" customHeight="1" x14ac:dyDescent="0.35">
      <c r="C113" s="107" t="s">
        <v>16</v>
      </c>
      <c r="D113" s="103" t="s">
        <v>105</v>
      </c>
      <c r="E113" s="103"/>
      <c r="F113" s="160"/>
      <c r="G113" s="160"/>
      <c r="H113" s="160"/>
      <c r="I113" s="103"/>
      <c r="J113" s="103"/>
      <c r="K113" s="103"/>
      <c r="L113" s="103"/>
      <c r="M113" s="103"/>
      <c r="N113" s="121">
        <v>10</v>
      </c>
      <c r="O113" s="161" t="s">
        <v>102</v>
      </c>
      <c r="P113" s="167">
        <v>200000</v>
      </c>
      <c r="Q113" s="165">
        <f t="shared" si="9"/>
        <v>2000000</v>
      </c>
    </row>
    <row r="114" spans="3:22" ht="15.75" customHeight="1" x14ac:dyDescent="0.35">
      <c r="C114" s="107" t="s">
        <v>26</v>
      </c>
      <c r="D114" s="103" t="s">
        <v>164</v>
      </c>
      <c r="E114" s="103"/>
      <c r="F114" s="160"/>
      <c r="G114" s="160"/>
      <c r="H114" s="160"/>
      <c r="I114" s="103"/>
      <c r="J114" s="168"/>
      <c r="K114" s="216" t="s">
        <v>163</v>
      </c>
      <c r="L114" s="103"/>
      <c r="M114" s="103"/>
      <c r="N114" s="121">
        <v>10</v>
      </c>
      <c r="O114" s="161" t="s">
        <v>106</v>
      </c>
      <c r="P114" s="167">
        <v>450000</v>
      </c>
      <c r="Q114" s="165">
        <f t="shared" si="9"/>
        <v>4500000</v>
      </c>
    </row>
    <row r="115" spans="3:22" ht="15" customHeight="1" x14ac:dyDescent="0.35">
      <c r="C115" s="175" t="s">
        <v>27</v>
      </c>
      <c r="D115" s="122" t="s">
        <v>147</v>
      </c>
      <c r="E115" s="91"/>
      <c r="F115" s="109"/>
      <c r="G115" s="103"/>
      <c r="H115" s="123"/>
      <c r="I115" s="103"/>
      <c r="J115" s="103"/>
      <c r="K115" s="103"/>
      <c r="L115" s="103"/>
      <c r="M115" s="95"/>
      <c r="N115" s="121">
        <v>2</v>
      </c>
      <c r="O115" s="104" t="s">
        <v>66</v>
      </c>
      <c r="P115" s="124">
        <v>350000</v>
      </c>
      <c r="Q115" s="106">
        <f>P115*N115</f>
        <v>700000</v>
      </c>
    </row>
    <row r="116" spans="3:22" ht="15" customHeight="1" x14ac:dyDescent="0.35">
      <c r="C116" s="175" t="s">
        <v>42</v>
      </c>
      <c r="D116" s="122" t="s">
        <v>148</v>
      </c>
      <c r="E116" s="91"/>
      <c r="F116" s="109"/>
      <c r="G116" s="103"/>
      <c r="H116" s="123"/>
      <c r="I116" s="103"/>
      <c r="J116" s="103"/>
      <c r="K116" s="103"/>
      <c r="L116" s="103"/>
      <c r="M116" s="95"/>
      <c r="N116" s="121">
        <v>2</v>
      </c>
      <c r="O116" s="104" t="s">
        <v>66</v>
      </c>
      <c r="P116" s="124">
        <v>350000</v>
      </c>
      <c r="Q116" s="106">
        <f>P116*N116</f>
        <v>700000</v>
      </c>
    </row>
    <row r="117" spans="3:22" ht="15" customHeight="1" x14ac:dyDescent="0.35">
      <c r="C117" s="175" t="s">
        <v>44</v>
      </c>
      <c r="D117" s="122" t="s">
        <v>149</v>
      </c>
      <c r="E117" s="91"/>
      <c r="F117" s="109"/>
      <c r="G117" s="103"/>
      <c r="H117" s="123"/>
      <c r="I117" s="103"/>
      <c r="J117" s="103"/>
      <c r="K117" s="103"/>
      <c r="L117" s="103"/>
      <c r="M117" s="95"/>
      <c r="N117" s="121">
        <v>2</v>
      </c>
      <c r="O117" s="104" t="s">
        <v>66</v>
      </c>
      <c r="P117" s="124">
        <v>175000</v>
      </c>
      <c r="Q117" s="106">
        <f>P117*N117</f>
        <v>350000</v>
      </c>
    </row>
    <row r="118" spans="3:22" ht="15.75" customHeight="1" x14ac:dyDescent="0.35">
      <c r="C118" s="175" t="s">
        <v>98</v>
      </c>
      <c r="D118" s="113" t="s">
        <v>204</v>
      </c>
      <c r="E118" s="116"/>
      <c r="F118" s="210"/>
      <c r="G118" s="113"/>
      <c r="H118" s="113"/>
      <c r="I118" s="113"/>
      <c r="J118" s="113"/>
      <c r="K118" s="192" t="s">
        <v>48</v>
      </c>
      <c r="L118" s="113"/>
      <c r="M118" s="113"/>
      <c r="N118" s="211">
        <v>10</v>
      </c>
      <c r="O118" s="161" t="s">
        <v>102</v>
      </c>
      <c r="P118" s="212">
        <v>150000</v>
      </c>
      <c r="Q118" s="128">
        <f>P118*N118</f>
        <v>1500000</v>
      </c>
      <c r="S118" s="213"/>
      <c r="T118" s="213"/>
      <c r="U118" s="213"/>
      <c r="V118" s="213"/>
    </row>
    <row r="119" spans="3:22" ht="15.75" customHeight="1" x14ac:dyDescent="0.35">
      <c r="C119" s="175"/>
      <c r="D119" s="103"/>
      <c r="E119" s="180"/>
      <c r="F119" s="103"/>
      <c r="G119" s="103"/>
      <c r="H119" s="103"/>
      <c r="I119" s="103"/>
      <c r="J119" s="103"/>
      <c r="K119" s="157"/>
      <c r="L119" s="181"/>
      <c r="M119" s="95"/>
      <c r="N119" s="96"/>
      <c r="O119" s="104"/>
      <c r="P119" s="105"/>
      <c r="Q119" s="128"/>
    </row>
    <row r="120" spans="3:22" ht="15.75" customHeight="1" x14ac:dyDescent="0.35">
      <c r="C120" s="173">
        <v>6</v>
      </c>
      <c r="D120" s="179" t="s">
        <v>135</v>
      </c>
      <c r="E120" s="103"/>
      <c r="F120" s="103"/>
      <c r="G120" s="103"/>
      <c r="H120" s="103"/>
      <c r="I120" s="103"/>
      <c r="J120" s="103"/>
      <c r="K120" s="103"/>
      <c r="L120" s="103"/>
      <c r="M120" s="95"/>
      <c r="N120" s="96"/>
      <c r="O120" s="104"/>
      <c r="P120" s="105"/>
      <c r="Q120" s="106"/>
      <c r="R120" s="75">
        <f>SUM(Q121:Q125)</f>
        <v>33500000</v>
      </c>
    </row>
    <row r="121" spans="3:22" ht="15.75" customHeight="1" x14ac:dyDescent="0.35">
      <c r="C121" s="214" t="s">
        <v>15</v>
      </c>
      <c r="D121" s="113" t="s">
        <v>202</v>
      </c>
      <c r="E121" s="116"/>
      <c r="F121" s="210"/>
      <c r="G121" s="113"/>
      <c r="H121" s="113"/>
      <c r="I121" s="113"/>
      <c r="J121" s="113"/>
      <c r="K121" s="113"/>
      <c r="L121" s="113"/>
      <c r="M121" s="113"/>
      <c r="N121" s="211">
        <v>1</v>
      </c>
      <c r="O121" s="161" t="s">
        <v>120</v>
      </c>
      <c r="P121" s="212">
        <v>8500000</v>
      </c>
      <c r="Q121" s="128">
        <f t="shared" ref="Q121:Q122" si="10">N121*P121</f>
        <v>8500000</v>
      </c>
      <c r="S121" s="213"/>
      <c r="T121" s="213"/>
      <c r="U121" s="213"/>
      <c r="V121" s="213"/>
    </row>
    <row r="122" spans="3:22" ht="15.75" customHeight="1" x14ac:dyDescent="0.35">
      <c r="C122" s="214" t="s">
        <v>16</v>
      </c>
      <c r="D122" s="113" t="s">
        <v>203</v>
      </c>
      <c r="E122" s="116"/>
      <c r="F122" s="210"/>
      <c r="G122" s="113"/>
      <c r="H122" s="113"/>
      <c r="I122" s="113"/>
      <c r="J122" s="113"/>
      <c r="K122" s="113"/>
      <c r="L122" s="113"/>
      <c r="M122" s="113"/>
      <c r="N122" s="211">
        <v>1</v>
      </c>
      <c r="O122" s="161" t="s">
        <v>120</v>
      </c>
      <c r="P122" s="212">
        <v>5000000</v>
      </c>
      <c r="Q122" s="128">
        <f t="shared" si="10"/>
        <v>5000000</v>
      </c>
      <c r="S122" s="213"/>
      <c r="T122" s="213"/>
      <c r="U122" s="213"/>
      <c r="V122" s="213"/>
    </row>
    <row r="123" spans="3:22" ht="15.75" customHeight="1" x14ac:dyDescent="0.35">
      <c r="C123" s="175" t="s">
        <v>26</v>
      </c>
      <c r="D123" s="103" t="s">
        <v>136</v>
      </c>
      <c r="E123" s="180"/>
      <c r="F123" s="103"/>
      <c r="G123" s="103"/>
      <c r="H123" s="103"/>
      <c r="I123" s="103"/>
      <c r="J123" s="103"/>
      <c r="K123" s="157"/>
      <c r="L123" s="181"/>
      <c r="M123" s="95"/>
      <c r="N123" s="96">
        <v>1</v>
      </c>
      <c r="O123" s="97" t="s">
        <v>18</v>
      </c>
      <c r="P123" s="127">
        <v>15000000</v>
      </c>
      <c r="Q123" s="128">
        <f t="shared" ref="Q123:Q124" si="11">N123*P123</f>
        <v>15000000</v>
      </c>
    </row>
    <row r="124" spans="3:22" ht="15.75" customHeight="1" x14ac:dyDescent="0.35">
      <c r="C124" s="175" t="s">
        <v>27</v>
      </c>
      <c r="D124" s="103" t="s">
        <v>137</v>
      </c>
      <c r="E124" s="180"/>
      <c r="F124" s="103"/>
      <c r="G124" s="103"/>
      <c r="H124" s="103"/>
      <c r="I124" s="103"/>
      <c r="J124" s="103"/>
      <c r="K124" s="192" t="s">
        <v>48</v>
      </c>
      <c r="L124" s="181"/>
      <c r="M124" s="95"/>
      <c r="N124" s="96">
        <v>1000</v>
      </c>
      <c r="O124" s="97" t="s">
        <v>138</v>
      </c>
      <c r="P124" s="127">
        <v>5000</v>
      </c>
      <c r="Q124" s="128">
        <f t="shared" si="11"/>
        <v>5000000</v>
      </c>
    </row>
    <row r="125" spans="3:22" ht="15.75" customHeight="1" x14ac:dyDescent="0.35">
      <c r="C125" s="107"/>
      <c r="D125" s="103"/>
      <c r="E125" s="91"/>
      <c r="F125" s="158"/>
      <c r="G125" s="103"/>
      <c r="H125" s="103"/>
      <c r="I125" s="144"/>
      <c r="J125" s="103"/>
      <c r="K125" s="192"/>
      <c r="L125" s="103"/>
      <c r="M125" s="103"/>
      <c r="N125" s="147"/>
      <c r="O125" s="104"/>
      <c r="P125" s="124"/>
      <c r="Q125" s="106"/>
    </row>
    <row r="126" spans="3:22" ht="15.75" customHeight="1" x14ac:dyDescent="0.35">
      <c r="C126" s="202">
        <v>7</v>
      </c>
      <c r="D126" s="159" t="s">
        <v>205</v>
      </c>
      <c r="E126" s="103"/>
      <c r="F126" s="160"/>
      <c r="G126" s="160"/>
      <c r="H126" s="160"/>
      <c r="I126" s="103"/>
      <c r="J126" s="103"/>
      <c r="K126" s="103"/>
      <c r="L126" s="103"/>
      <c r="M126" s="103"/>
      <c r="N126" s="121"/>
      <c r="O126" s="161"/>
      <c r="P126" s="162"/>
      <c r="Q126" s="149"/>
      <c r="R126" s="75">
        <f>SUM(Q127:Q137)</f>
        <v>21300000</v>
      </c>
    </row>
    <row r="127" spans="3:22" ht="15.75" customHeight="1" x14ac:dyDescent="0.35">
      <c r="C127" s="107" t="s">
        <v>15</v>
      </c>
      <c r="D127" s="109" t="s">
        <v>101</v>
      </c>
      <c r="E127" s="103"/>
      <c r="F127" s="160"/>
      <c r="G127" s="160"/>
      <c r="H127" s="160"/>
      <c r="I127" s="103"/>
      <c r="J127" s="103"/>
      <c r="K127" s="103"/>
      <c r="L127" s="103"/>
      <c r="M127" s="103"/>
      <c r="N127" s="163">
        <v>2</v>
      </c>
      <c r="O127" s="104" t="s">
        <v>66</v>
      </c>
      <c r="P127" s="77">
        <v>1500000</v>
      </c>
      <c r="Q127" s="128">
        <f>N127*P127</f>
        <v>3000000</v>
      </c>
    </row>
    <row r="128" spans="3:22" ht="15.75" customHeight="1" x14ac:dyDescent="0.35">
      <c r="C128" s="107"/>
      <c r="D128" s="109" t="s">
        <v>150</v>
      </c>
      <c r="E128" s="103"/>
      <c r="F128" s="160"/>
      <c r="G128" s="160"/>
      <c r="H128" s="160"/>
      <c r="I128" s="103"/>
      <c r="J128" s="103"/>
      <c r="K128" s="103"/>
      <c r="L128" s="103"/>
      <c r="M128" s="103"/>
      <c r="N128" s="163">
        <v>2</v>
      </c>
      <c r="O128" s="104" t="s">
        <v>102</v>
      </c>
      <c r="P128" s="78">
        <v>150000</v>
      </c>
      <c r="Q128" s="128">
        <f>N128*P128</f>
        <v>300000</v>
      </c>
    </row>
    <row r="129" spans="3:18" ht="15.75" customHeight="1" x14ac:dyDescent="0.35">
      <c r="C129" s="107" t="s">
        <v>16</v>
      </c>
      <c r="D129" s="103" t="s">
        <v>206</v>
      </c>
      <c r="E129" s="103"/>
      <c r="F129" s="160"/>
      <c r="G129" s="160"/>
      <c r="H129" s="160"/>
      <c r="I129" s="103"/>
      <c r="J129" s="103"/>
      <c r="K129" s="215" t="s">
        <v>48</v>
      </c>
      <c r="L129" s="103"/>
      <c r="M129" s="103"/>
      <c r="N129" s="121"/>
      <c r="O129" s="161"/>
      <c r="P129" s="162"/>
      <c r="Q129" s="149"/>
    </row>
    <row r="130" spans="3:18" ht="15.75" customHeight="1" x14ac:dyDescent="0.35">
      <c r="C130" s="107"/>
      <c r="D130" s="103" t="s">
        <v>209</v>
      </c>
      <c r="E130" s="103"/>
      <c r="F130" s="160"/>
      <c r="G130" s="160"/>
      <c r="H130" s="160"/>
      <c r="I130" s="103"/>
      <c r="J130" s="103"/>
      <c r="K130" s="103"/>
      <c r="L130" s="103"/>
      <c r="M130" s="103"/>
      <c r="N130" s="121">
        <v>2</v>
      </c>
      <c r="O130" s="161" t="s">
        <v>102</v>
      </c>
      <c r="P130" s="164">
        <v>1000000</v>
      </c>
      <c r="Q130" s="165">
        <f t="shared" ref="Q130:Q133" si="12">N130*P130</f>
        <v>2000000</v>
      </c>
    </row>
    <row r="131" spans="3:18" ht="15.75" customHeight="1" x14ac:dyDescent="0.35">
      <c r="C131" s="107"/>
      <c r="D131" s="103" t="s">
        <v>210</v>
      </c>
      <c r="E131" s="103"/>
      <c r="F131" s="160"/>
      <c r="G131" s="160"/>
      <c r="H131" s="160"/>
      <c r="I131" s="103"/>
      <c r="J131" s="103"/>
      <c r="K131" s="103"/>
      <c r="L131" s="103"/>
      <c r="M131" s="103"/>
      <c r="N131" s="121">
        <v>2</v>
      </c>
      <c r="O131" s="161" t="s">
        <v>102</v>
      </c>
      <c r="P131" s="164">
        <v>1500000</v>
      </c>
      <c r="Q131" s="165">
        <f t="shared" si="12"/>
        <v>3000000</v>
      </c>
    </row>
    <row r="132" spans="3:18" ht="15.75" customHeight="1" x14ac:dyDescent="0.35">
      <c r="C132" s="107"/>
      <c r="D132" s="103" t="s">
        <v>211</v>
      </c>
      <c r="E132" s="103"/>
      <c r="F132" s="160"/>
      <c r="G132" s="160"/>
      <c r="H132" s="160"/>
      <c r="I132" s="103"/>
      <c r="J132" s="103"/>
      <c r="K132" s="103"/>
      <c r="L132" s="103"/>
      <c r="M132" s="103"/>
      <c r="N132" s="121">
        <v>2</v>
      </c>
      <c r="O132" s="161" t="s">
        <v>102</v>
      </c>
      <c r="P132" s="164">
        <v>2500000</v>
      </c>
      <c r="Q132" s="165">
        <f t="shared" si="12"/>
        <v>5000000</v>
      </c>
    </row>
    <row r="133" spans="3:18" ht="15.75" customHeight="1" x14ac:dyDescent="0.35">
      <c r="C133" s="107"/>
      <c r="D133" s="103" t="s">
        <v>207</v>
      </c>
      <c r="E133" s="103"/>
      <c r="F133" s="160"/>
      <c r="G133" s="160"/>
      <c r="H133" s="160"/>
      <c r="I133" s="103"/>
      <c r="J133" s="103"/>
      <c r="K133" s="103"/>
      <c r="L133" s="103"/>
      <c r="M133" s="103"/>
      <c r="N133" s="121">
        <v>2</v>
      </c>
      <c r="O133" s="161" t="s">
        <v>102</v>
      </c>
      <c r="P133" s="164">
        <v>2500000</v>
      </c>
      <c r="Q133" s="165">
        <f t="shared" si="12"/>
        <v>5000000</v>
      </c>
    </row>
    <row r="134" spans="3:18" ht="15.75" customHeight="1" x14ac:dyDescent="0.35">
      <c r="C134" s="107" t="s">
        <v>26</v>
      </c>
      <c r="D134" s="103" t="s">
        <v>208</v>
      </c>
      <c r="E134" s="103"/>
      <c r="F134" s="160"/>
      <c r="G134" s="160"/>
      <c r="H134" s="160"/>
      <c r="I134" s="103"/>
      <c r="J134" s="103"/>
      <c r="K134" s="215" t="s">
        <v>48</v>
      </c>
      <c r="L134" s="103"/>
      <c r="M134" s="103"/>
      <c r="N134" s="121"/>
      <c r="O134" s="161"/>
      <c r="P134" s="162"/>
      <c r="Q134" s="149"/>
    </row>
    <row r="135" spans="3:18" ht="15.75" customHeight="1" x14ac:dyDescent="0.35">
      <c r="C135" s="107"/>
      <c r="D135" s="103" t="s">
        <v>209</v>
      </c>
      <c r="E135" s="103"/>
      <c r="F135" s="160"/>
      <c r="G135" s="160"/>
      <c r="H135" s="160"/>
      <c r="I135" s="103"/>
      <c r="J135" s="103"/>
      <c r="K135" s="103"/>
      <c r="L135" s="103"/>
      <c r="M135" s="103"/>
      <c r="N135" s="121">
        <v>2</v>
      </c>
      <c r="O135" s="161" t="s">
        <v>102</v>
      </c>
      <c r="P135" s="164">
        <v>250000</v>
      </c>
      <c r="Q135" s="165">
        <f t="shared" ref="Q135:Q137" si="13">N135*P135</f>
        <v>500000</v>
      </c>
    </row>
    <row r="136" spans="3:18" ht="15.75" customHeight="1" x14ac:dyDescent="0.35">
      <c r="C136" s="107"/>
      <c r="D136" s="103" t="s">
        <v>210</v>
      </c>
      <c r="E136" s="103"/>
      <c r="F136" s="160"/>
      <c r="G136" s="160"/>
      <c r="H136" s="160"/>
      <c r="I136" s="103"/>
      <c r="J136" s="103"/>
      <c r="K136" s="103"/>
      <c r="L136" s="103"/>
      <c r="M136" s="103"/>
      <c r="N136" s="121">
        <v>2</v>
      </c>
      <c r="O136" s="161" t="s">
        <v>102</v>
      </c>
      <c r="P136" s="164">
        <v>500000</v>
      </c>
      <c r="Q136" s="165">
        <f t="shared" si="13"/>
        <v>1000000</v>
      </c>
    </row>
    <row r="137" spans="3:18" ht="15.75" customHeight="1" x14ac:dyDescent="0.35">
      <c r="C137" s="107"/>
      <c r="D137" s="103" t="s">
        <v>211</v>
      </c>
      <c r="E137" s="103"/>
      <c r="F137" s="160"/>
      <c r="G137" s="160"/>
      <c r="H137" s="160"/>
      <c r="I137" s="103"/>
      <c r="J137" s="103"/>
      <c r="K137" s="103"/>
      <c r="L137" s="103"/>
      <c r="M137" s="103"/>
      <c r="N137" s="121">
        <v>2</v>
      </c>
      <c r="O137" s="161" t="s">
        <v>102</v>
      </c>
      <c r="P137" s="164">
        <v>750000</v>
      </c>
      <c r="Q137" s="165">
        <f t="shared" si="13"/>
        <v>1500000</v>
      </c>
    </row>
    <row r="138" spans="3:18" ht="15.75" customHeight="1" x14ac:dyDescent="0.35">
      <c r="C138" s="107"/>
      <c r="D138" s="113"/>
      <c r="E138" s="91"/>
      <c r="F138" s="109"/>
      <c r="G138" s="103"/>
      <c r="H138" s="103"/>
      <c r="I138" s="103"/>
      <c r="J138" s="103"/>
      <c r="K138" s="103"/>
      <c r="L138" s="103"/>
      <c r="M138" s="103"/>
      <c r="N138" s="96"/>
      <c r="O138" s="97"/>
      <c r="P138" s="171"/>
      <c r="Q138" s="106"/>
    </row>
    <row r="139" spans="3:18" ht="15.75" customHeight="1" x14ac:dyDescent="0.35">
      <c r="C139" s="173">
        <v>8</v>
      </c>
      <c r="D139" s="102" t="s">
        <v>114</v>
      </c>
      <c r="E139" s="116"/>
      <c r="F139" s="113"/>
      <c r="G139" s="113"/>
      <c r="H139" s="113"/>
      <c r="I139" s="103"/>
      <c r="J139" s="103"/>
      <c r="K139" s="103"/>
      <c r="L139" s="103"/>
      <c r="M139" s="103"/>
      <c r="N139" s="96"/>
      <c r="O139" s="97"/>
      <c r="P139" s="174"/>
      <c r="Q139" s="106"/>
      <c r="R139" s="75">
        <f>SUM(Q140:Q152)</f>
        <v>56700000</v>
      </c>
    </row>
    <row r="140" spans="3:18" ht="15.75" customHeight="1" x14ac:dyDescent="0.35">
      <c r="C140" s="166"/>
      <c r="D140" s="95" t="s">
        <v>212</v>
      </c>
      <c r="E140" s="91"/>
      <c r="F140" s="109"/>
      <c r="G140" s="103"/>
      <c r="H140" s="103"/>
      <c r="I140" s="103"/>
      <c r="J140" s="103"/>
      <c r="K140" s="103"/>
      <c r="L140" s="103"/>
      <c r="M140" s="103"/>
      <c r="N140" s="121"/>
      <c r="O140" s="161"/>
      <c r="P140" s="162"/>
      <c r="Q140" s="149"/>
    </row>
    <row r="141" spans="3:18" ht="15.75" customHeight="1" x14ac:dyDescent="0.35">
      <c r="C141" s="175" t="s">
        <v>15</v>
      </c>
      <c r="D141" s="103" t="s">
        <v>159</v>
      </c>
      <c r="E141" s="116"/>
      <c r="F141" s="113"/>
      <c r="G141" s="113"/>
      <c r="H141" s="113"/>
      <c r="I141" s="103"/>
      <c r="J141" s="103"/>
      <c r="K141" s="103"/>
      <c r="L141" s="103"/>
      <c r="M141" s="103"/>
      <c r="N141" s="96">
        <v>2</v>
      </c>
      <c r="O141" s="97" t="s">
        <v>66</v>
      </c>
      <c r="P141" s="176">
        <v>350000</v>
      </c>
      <c r="Q141" s="106">
        <f>N141*P141</f>
        <v>700000</v>
      </c>
    </row>
    <row r="142" spans="3:18" ht="15.75" customHeight="1" x14ac:dyDescent="0.35">
      <c r="C142" s="175" t="s">
        <v>16</v>
      </c>
      <c r="D142" s="103" t="s">
        <v>162</v>
      </c>
      <c r="E142" s="116"/>
      <c r="F142" s="113"/>
      <c r="G142" s="113"/>
      <c r="H142" s="113"/>
      <c r="I142" s="103"/>
      <c r="J142" s="103"/>
      <c r="K142" s="103"/>
      <c r="L142" s="103"/>
      <c r="M142" s="103"/>
      <c r="N142" s="96">
        <v>2</v>
      </c>
      <c r="O142" s="97" t="s">
        <v>66</v>
      </c>
      <c r="P142" s="174">
        <v>500000</v>
      </c>
      <c r="Q142" s="106">
        <f>N142*P142</f>
        <v>1000000</v>
      </c>
    </row>
    <row r="143" spans="3:18" ht="15.75" customHeight="1" x14ac:dyDescent="0.35">
      <c r="C143" s="175" t="s">
        <v>26</v>
      </c>
      <c r="D143" s="103" t="s">
        <v>115</v>
      </c>
      <c r="E143" s="116"/>
      <c r="F143" s="113"/>
      <c r="G143" s="113"/>
      <c r="H143" s="113"/>
      <c r="I143" s="103"/>
      <c r="J143" s="103"/>
      <c r="K143" s="103"/>
      <c r="L143" s="103"/>
      <c r="M143" s="103"/>
      <c r="N143" s="96">
        <v>2</v>
      </c>
      <c r="O143" s="97" t="s">
        <v>66</v>
      </c>
      <c r="P143" s="176">
        <v>6000000</v>
      </c>
      <c r="Q143" s="106">
        <f>N143*P143</f>
        <v>12000000</v>
      </c>
    </row>
    <row r="144" spans="3:18" ht="15.75" customHeight="1" x14ac:dyDescent="0.35">
      <c r="C144" s="107" t="s">
        <v>27</v>
      </c>
      <c r="D144" s="103" t="s">
        <v>161</v>
      </c>
      <c r="E144" s="116"/>
      <c r="F144" s="113"/>
      <c r="G144" s="113"/>
      <c r="H144" s="113"/>
      <c r="I144" s="103"/>
      <c r="J144" s="103"/>
      <c r="K144" s="103"/>
      <c r="L144" s="103"/>
      <c r="M144" s="103"/>
      <c r="N144" s="96">
        <v>2</v>
      </c>
      <c r="O144" s="97" t="s">
        <v>66</v>
      </c>
      <c r="P144" s="174">
        <v>500000</v>
      </c>
      <c r="Q144" s="106">
        <f>N144*P144</f>
        <v>1000000</v>
      </c>
    </row>
    <row r="145" spans="3:18" ht="15.75" customHeight="1" x14ac:dyDescent="0.35">
      <c r="C145" s="166"/>
      <c r="D145" s="95" t="s">
        <v>213</v>
      </c>
      <c r="E145" s="91"/>
      <c r="F145" s="109"/>
      <c r="G145" s="103"/>
      <c r="H145" s="103"/>
      <c r="I145" s="103"/>
      <c r="J145" s="103"/>
      <c r="K145" s="103"/>
      <c r="L145" s="103"/>
      <c r="M145" s="103"/>
      <c r="N145" s="121"/>
      <c r="O145" s="161"/>
      <c r="P145" s="162"/>
      <c r="Q145" s="149"/>
    </row>
    <row r="146" spans="3:18" ht="15.75" customHeight="1" x14ac:dyDescent="0.35">
      <c r="C146" s="175" t="s">
        <v>15</v>
      </c>
      <c r="D146" s="103" t="s">
        <v>117</v>
      </c>
      <c r="E146" s="116"/>
      <c r="F146" s="113"/>
      <c r="G146" s="113"/>
      <c r="H146" s="113"/>
      <c r="I146" s="103"/>
      <c r="J146" s="103"/>
      <c r="K146" s="103"/>
      <c r="L146" s="103"/>
      <c r="M146" s="103"/>
      <c r="N146" s="96">
        <v>2</v>
      </c>
      <c r="O146" s="97" t="s">
        <v>66</v>
      </c>
      <c r="P146" s="172">
        <v>500000</v>
      </c>
      <c r="Q146" s="106">
        <f t="shared" ref="Q146" si="14">N146*P146</f>
        <v>1000000</v>
      </c>
    </row>
    <row r="147" spans="3:18" ht="15.75" customHeight="1" x14ac:dyDescent="0.35">
      <c r="C147" s="107" t="s">
        <v>16</v>
      </c>
      <c r="D147" s="103" t="s">
        <v>116</v>
      </c>
      <c r="E147" s="116"/>
      <c r="F147" s="113"/>
      <c r="G147" s="113"/>
      <c r="H147" s="113"/>
      <c r="I147" s="103"/>
      <c r="J147" s="103"/>
      <c r="K147" s="103"/>
      <c r="L147" s="103"/>
      <c r="M147" s="103"/>
      <c r="N147" s="96">
        <v>2</v>
      </c>
      <c r="O147" s="97" t="s">
        <v>66</v>
      </c>
      <c r="P147" s="176">
        <v>6000000</v>
      </c>
      <c r="Q147" s="106">
        <f>N147*P147</f>
        <v>12000000</v>
      </c>
    </row>
    <row r="148" spans="3:18" ht="15.75" customHeight="1" x14ac:dyDescent="0.35">
      <c r="C148" s="175" t="s">
        <v>26</v>
      </c>
      <c r="D148" s="113" t="s">
        <v>119</v>
      </c>
      <c r="E148" s="91"/>
      <c r="F148" s="109"/>
      <c r="G148" s="103"/>
      <c r="H148" s="103"/>
      <c r="I148" s="103"/>
      <c r="J148" s="143"/>
      <c r="K148" s="103"/>
      <c r="L148" s="103"/>
      <c r="M148" s="103"/>
      <c r="N148" s="96">
        <v>2</v>
      </c>
      <c r="O148" s="97" t="s">
        <v>66</v>
      </c>
      <c r="P148" s="171">
        <v>2500000</v>
      </c>
      <c r="Q148" s="106">
        <f t="shared" ref="Q148" si="15">N148*P148</f>
        <v>5000000</v>
      </c>
    </row>
    <row r="149" spans="3:18" ht="15.75" customHeight="1" x14ac:dyDescent="0.35">
      <c r="C149" s="175" t="s">
        <v>27</v>
      </c>
      <c r="D149" s="113" t="s">
        <v>111</v>
      </c>
      <c r="E149" s="116"/>
      <c r="F149" s="113"/>
      <c r="G149" s="113"/>
      <c r="H149" s="177"/>
      <c r="I149" s="220"/>
      <c r="J149" s="178"/>
      <c r="K149" s="170" t="s">
        <v>112</v>
      </c>
      <c r="L149" s="103"/>
      <c r="M149" s="103"/>
      <c r="N149" s="96">
        <v>2</v>
      </c>
      <c r="O149" s="97" t="s">
        <v>66</v>
      </c>
      <c r="P149" s="172">
        <v>2500000</v>
      </c>
      <c r="Q149" s="106">
        <f>N149*P149</f>
        <v>5000000</v>
      </c>
    </row>
    <row r="150" spans="3:18" ht="15.75" customHeight="1" x14ac:dyDescent="0.35">
      <c r="C150" s="107" t="s">
        <v>42</v>
      </c>
      <c r="D150" s="103" t="s">
        <v>118</v>
      </c>
      <c r="E150" s="116"/>
      <c r="F150" s="113"/>
      <c r="G150" s="113"/>
      <c r="H150" s="113"/>
      <c r="I150" s="103"/>
      <c r="J150" s="103"/>
      <c r="K150" s="103"/>
      <c r="L150" s="103"/>
      <c r="M150" s="103"/>
      <c r="N150" s="96">
        <v>2</v>
      </c>
      <c r="O150" s="97" t="s">
        <v>66</v>
      </c>
      <c r="P150" s="172">
        <v>3500000</v>
      </c>
      <c r="Q150" s="106">
        <f t="shared" ref="Q150" si="16">N150*P150</f>
        <v>7000000</v>
      </c>
    </row>
    <row r="151" spans="3:18" ht="15.75" customHeight="1" x14ac:dyDescent="0.35">
      <c r="C151" s="107" t="s">
        <v>44</v>
      </c>
      <c r="D151" s="103" t="s">
        <v>160</v>
      </c>
      <c r="E151" s="116"/>
      <c r="F151" s="113"/>
      <c r="G151" s="113"/>
      <c r="H151" s="113"/>
      <c r="I151" s="103"/>
      <c r="J151" s="103"/>
      <c r="K151" s="103"/>
      <c r="L151" s="103"/>
      <c r="M151" s="103"/>
      <c r="N151" s="96">
        <v>2</v>
      </c>
      <c r="O151" s="97" t="s">
        <v>66</v>
      </c>
      <c r="P151" s="174">
        <v>1000000</v>
      </c>
      <c r="Q151" s="106">
        <f t="shared" ref="Q151:Q152" si="17">N151*P151</f>
        <v>2000000</v>
      </c>
    </row>
    <row r="152" spans="3:18" ht="15.75" customHeight="1" x14ac:dyDescent="0.35">
      <c r="C152" s="107" t="s">
        <v>98</v>
      </c>
      <c r="D152" s="113" t="s">
        <v>172</v>
      </c>
      <c r="E152" s="91"/>
      <c r="F152" s="109"/>
      <c r="G152" s="103"/>
      <c r="H152" s="103"/>
      <c r="I152" s="103"/>
      <c r="J152" s="103"/>
      <c r="K152" s="103"/>
      <c r="L152" s="103"/>
      <c r="M152" s="103"/>
      <c r="N152" s="96">
        <v>2</v>
      </c>
      <c r="O152" s="97" t="s">
        <v>66</v>
      </c>
      <c r="P152" s="171">
        <v>5000000</v>
      </c>
      <c r="Q152" s="165">
        <f t="shared" si="17"/>
        <v>10000000</v>
      </c>
    </row>
    <row r="153" spans="3:18" ht="15.75" customHeight="1" x14ac:dyDescent="0.35">
      <c r="C153" s="107"/>
      <c r="D153" s="103"/>
      <c r="E153" s="103"/>
      <c r="F153" s="160"/>
      <c r="G153" s="160"/>
      <c r="H153" s="160"/>
      <c r="I153" s="103"/>
      <c r="J153" s="103"/>
      <c r="K153" s="103"/>
      <c r="L153" s="103"/>
      <c r="M153" s="103"/>
      <c r="N153" s="121"/>
      <c r="O153" s="161"/>
      <c r="P153" s="167"/>
      <c r="Q153" s="165"/>
    </row>
    <row r="154" spans="3:18" ht="15.75" customHeight="1" x14ac:dyDescent="0.35">
      <c r="C154" s="166">
        <v>9</v>
      </c>
      <c r="D154" s="95" t="s">
        <v>67</v>
      </c>
      <c r="E154" s="91"/>
      <c r="F154" s="109"/>
      <c r="G154" s="103"/>
      <c r="H154" s="103"/>
      <c r="I154" s="103"/>
      <c r="J154" s="103"/>
      <c r="K154" s="103"/>
      <c r="L154" s="103"/>
      <c r="M154" s="103"/>
      <c r="N154" s="121"/>
      <c r="O154" s="161"/>
      <c r="P154" s="162"/>
      <c r="Q154" s="149"/>
      <c r="R154" s="75">
        <f>SUM(Q155:Q170)</f>
        <v>137000000</v>
      </c>
    </row>
    <row r="155" spans="3:18" ht="15.75" customHeight="1" x14ac:dyDescent="0.35">
      <c r="C155" s="166"/>
      <c r="D155" s="95" t="s">
        <v>153</v>
      </c>
      <c r="E155" s="91"/>
      <c r="F155" s="109"/>
      <c r="G155" s="103"/>
      <c r="H155" s="103"/>
      <c r="I155" s="103"/>
      <c r="J155" s="103"/>
      <c r="K155" s="103"/>
      <c r="L155" s="103"/>
      <c r="M155" s="103"/>
      <c r="N155" s="121"/>
      <c r="O155" s="161"/>
      <c r="P155" s="162"/>
      <c r="Q155" s="149"/>
    </row>
    <row r="156" spans="3:18" ht="15.75" customHeight="1" x14ac:dyDescent="0.35">
      <c r="C156" s="107" t="s">
        <v>15</v>
      </c>
      <c r="D156" s="113" t="s">
        <v>154</v>
      </c>
      <c r="E156" s="91"/>
      <c r="F156" s="109"/>
      <c r="G156" s="103"/>
      <c r="H156" s="103"/>
      <c r="I156" s="103"/>
      <c r="J156" s="103"/>
      <c r="K156" s="103"/>
      <c r="L156" s="103"/>
      <c r="M156" s="103"/>
      <c r="N156" s="96">
        <v>2</v>
      </c>
      <c r="O156" s="97" t="s">
        <v>66</v>
      </c>
      <c r="P156" s="171">
        <v>500000</v>
      </c>
      <c r="Q156" s="165">
        <f>N156*P156</f>
        <v>1000000</v>
      </c>
    </row>
    <row r="157" spans="3:18" ht="15.75" customHeight="1" x14ac:dyDescent="0.35">
      <c r="C157" s="107" t="s">
        <v>16</v>
      </c>
      <c r="D157" s="113" t="s">
        <v>68</v>
      </c>
      <c r="E157" s="91"/>
      <c r="F157" s="109"/>
      <c r="G157" s="103"/>
      <c r="H157" s="103"/>
      <c r="I157" s="103"/>
      <c r="J157" s="103"/>
      <c r="K157" s="103"/>
      <c r="L157" s="103"/>
      <c r="M157" s="103"/>
      <c r="N157" s="96">
        <v>2</v>
      </c>
      <c r="O157" s="97" t="s">
        <v>66</v>
      </c>
      <c r="P157" s="169">
        <v>8000000</v>
      </c>
      <c r="Q157" s="165">
        <f t="shared" ref="Q157:Q161" si="18">N157*P157</f>
        <v>16000000</v>
      </c>
    </row>
    <row r="158" spans="3:18" ht="15.75" customHeight="1" x14ac:dyDescent="0.35">
      <c r="C158" s="107" t="s">
        <v>26</v>
      </c>
      <c r="D158" s="113" t="s">
        <v>75</v>
      </c>
      <c r="E158" s="91"/>
      <c r="F158" s="109"/>
      <c r="G158" s="103"/>
      <c r="H158" s="103"/>
      <c r="I158" s="103"/>
      <c r="J158" s="103"/>
      <c r="K158" s="103"/>
      <c r="L158" s="103"/>
      <c r="M158" s="103"/>
      <c r="N158" s="96">
        <v>2</v>
      </c>
      <c r="O158" s="97" t="s">
        <v>66</v>
      </c>
      <c r="P158" s="169">
        <v>10000000</v>
      </c>
      <c r="Q158" s="165">
        <f t="shared" si="18"/>
        <v>20000000</v>
      </c>
    </row>
    <row r="159" spans="3:18" ht="15.75" customHeight="1" x14ac:dyDescent="0.35">
      <c r="C159" s="107" t="s">
        <v>27</v>
      </c>
      <c r="D159" s="113" t="s">
        <v>214</v>
      </c>
      <c r="E159" s="91"/>
      <c r="F159" s="109"/>
      <c r="G159" s="103"/>
      <c r="H159" s="103"/>
      <c r="I159" s="103"/>
      <c r="J159" s="103"/>
      <c r="K159" s="103"/>
      <c r="L159" s="103"/>
      <c r="M159" s="103"/>
      <c r="N159" s="96">
        <v>2</v>
      </c>
      <c r="O159" s="97" t="s">
        <v>66</v>
      </c>
      <c r="P159" s="169">
        <v>2000000</v>
      </c>
      <c r="Q159" s="165">
        <f t="shared" si="18"/>
        <v>4000000</v>
      </c>
    </row>
    <row r="160" spans="3:18" ht="15.75" customHeight="1" x14ac:dyDescent="0.35">
      <c r="C160" s="107" t="s">
        <v>42</v>
      </c>
      <c r="D160" s="113" t="s">
        <v>215</v>
      </c>
      <c r="E160" s="91"/>
      <c r="F160" s="109"/>
      <c r="G160" s="103"/>
      <c r="H160" s="103"/>
      <c r="I160" s="103"/>
      <c r="J160" s="103"/>
      <c r="K160" s="103"/>
      <c r="L160" s="103"/>
      <c r="M160" s="103"/>
      <c r="N160" s="96">
        <v>2</v>
      </c>
      <c r="O160" s="97" t="s">
        <v>66</v>
      </c>
      <c r="P160" s="169">
        <v>1500000</v>
      </c>
      <c r="Q160" s="165">
        <f t="shared" ref="Q160" si="19">N160*P160</f>
        <v>3000000</v>
      </c>
    </row>
    <row r="161" spans="2:18" ht="15.75" customHeight="1" x14ac:dyDescent="0.35">
      <c r="C161" s="107" t="s">
        <v>44</v>
      </c>
      <c r="D161" s="113" t="s">
        <v>171</v>
      </c>
      <c r="E161" s="91"/>
      <c r="F161" s="109"/>
      <c r="G161" s="103"/>
      <c r="H161" s="103"/>
      <c r="I161" s="103"/>
      <c r="J161" s="103"/>
      <c r="K161" s="103"/>
      <c r="L161" s="103"/>
      <c r="M161" s="103"/>
      <c r="N161" s="96">
        <v>2</v>
      </c>
      <c r="O161" s="97" t="s">
        <v>66</v>
      </c>
      <c r="P161" s="171">
        <v>5000000</v>
      </c>
      <c r="Q161" s="165">
        <f t="shared" si="18"/>
        <v>10000000</v>
      </c>
    </row>
    <row r="162" spans="2:18" ht="15.75" customHeight="1" x14ac:dyDescent="0.35">
      <c r="C162" s="107"/>
      <c r="D162" s="95" t="s">
        <v>155</v>
      </c>
      <c r="E162" s="91"/>
      <c r="F162" s="109"/>
      <c r="G162" s="103"/>
      <c r="H162" s="103"/>
      <c r="I162" s="103"/>
      <c r="J162" s="103"/>
      <c r="K162" s="103"/>
      <c r="L162" s="103"/>
      <c r="M162" s="103"/>
      <c r="N162" s="96"/>
      <c r="O162" s="97"/>
      <c r="P162" s="171"/>
      <c r="Q162" s="106"/>
    </row>
    <row r="163" spans="2:18" ht="15.75" customHeight="1" x14ac:dyDescent="0.35">
      <c r="C163" s="107" t="s">
        <v>15</v>
      </c>
      <c r="D163" s="103" t="s">
        <v>107</v>
      </c>
      <c r="E163" s="91"/>
      <c r="F163" s="109"/>
      <c r="G163" s="103"/>
      <c r="H163" s="103"/>
      <c r="I163" s="103"/>
      <c r="J163" s="103"/>
      <c r="K163" s="103"/>
      <c r="L163" s="103"/>
      <c r="M163" s="103"/>
      <c r="N163" s="96">
        <v>2</v>
      </c>
      <c r="O163" s="97" t="s">
        <v>66</v>
      </c>
      <c r="P163" s="172">
        <v>10000000</v>
      </c>
      <c r="Q163" s="106">
        <f t="shared" ref="Q163:Q168" si="20">N163*P163</f>
        <v>20000000</v>
      </c>
    </row>
    <row r="164" spans="2:18" ht="15.75" customHeight="1" x14ac:dyDescent="0.35">
      <c r="C164" s="107" t="s">
        <v>16</v>
      </c>
      <c r="D164" s="113" t="s">
        <v>113</v>
      </c>
      <c r="E164" s="91"/>
      <c r="F164" s="109"/>
      <c r="G164" s="103"/>
      <c r="H164" s="103"/>
      <c r="I164" s="103"/>
      <c r="J164" s="143"/>
      <c r="K164" s="103"/>
      <c r="L164" s="103"/>
      <c r="M164" s="103"/>
      <c r="N164" s="96">
        <v>2</v>
      </c>
      <c r="O164" s="97" t="s">
        <v>66</v>
      </c>
      <c r="P164" s="171">
        <v>2500000</v>
      </c>
      <c r="Q164" s="106">
        <f>N164*P164</f>
        <v>5000000</v>
      </c>
    </row>
    <row r="165" spans="2:18" ht="15.75" customHeight="1" x14ac:dyDescent="0.35">
      <c r="C165" s="107" t="s">
        <v>26</v>
      </c>
      <c r="D165" s="113" t="s">
        <v>111</v>
      </c>
      <c r="E165" s="91"/>
      <c r="F165" s="109"/>
      <c r="G165" s="103"/>
      <c r="H165" s="103"/>
      <c r="I165" s="103"/>
      <c r="J165" s="178"/>
      <c r="K165" s="170" t="s">
        <v>112</v>
      </c>
      <c r="L165" s="103"/>
      <c r="M165" s="103"/>
      <c r="N165" s="96">
        <v>2</v>
      </c>
      <c r="O165" s="97" t="s">
        <v>66</v>
      </c>
      <c r="P165" s="172">
        <v>3000000</v>
      </c>
      <c r="Q165" s="106">
        <f>N165*P165</f>
        <v>6000000</v>
      </c>
    </row>
    <row r="166" spans="2:18" ht="15.75" customHeight="1" x14ac:dyDescent="0.35">
      <c r="C166" s="107" t="s">
        <v>27</v>
      </c>
      <c r="D166" s="103" t="s">
        <v>156</v>
      </c>
      <c r="E166" s="91"/>
      <c r="F166" s="109"/>
      <c r="G166" s="103"/>
      <c r="H166" s="103"/>
      <c r="I166" s="103"/>
      <c r="J166" s="103"/>
      <c r="K166" s="103"/>
      <c r="L166" s="103"/>
      <c r="M166" s="103"/>
      <c r="N166" s="96">
        <v>2</v>
      </c>
      <c r="O166" s="97" t="s">
        <v>66</v>
      </c>
      <c r="P166" s="172">
        <v>1500000</v>
      </c>
      <c r="Q166" s="106">
        <f t="shared" si="20"/>
        <v>3000000</v>
      </c>
    </row>
    <row r="167" spans="2:18" ht="15.75" customHeight="1" x14ac:dyDescent="0.35">
      <c r="C167" s="107" t="s">
        <v>42</v>
      </c>
      <c r="D167" s="113" t="s">
        <v>108</v>
      </c>
      <c r="E167" s="91"/>
      <c r="F167" s="109"/>
      <c r="G167" s="103"/>
      <c r="H167" s="103"/>
      <c r="I167" s="103"/>
      <c r="J167" s="103"/>
      <c r="K167" s="103"/>
      <c r="L167" s="103"/>
      <c r="M167" s="103"/>
      <c r="N167" s="96">
        <v>2</v>
      </c>
      <c r="O167" s="97" t="s">
        <v>66</v>
      </c>
      <c r="P167" s="172">
        <v>4500000</v>
      </c>
      <c r="Q167" s="106">
        <f t="shared" si="20"/>
        <v>9000000</v>
      </c>
    </row>
    <row r="168" spans="2:18" ht="15.75" customHeight="1" x14ac:dyDescent="0.35">
      <c r="C168" s="107" t="s">
        <v>44</v>
      </c>
      <c r="D168" s="113" t="s">
        <v>109</v>
      </c>
      <c r="E168" s="91"/>
      <c r="F168" s="109"/>
      <c r="G168" s="103"/>
      <c r="H168" s="103"/>
      <c r="I168" s="103"/>
      <c r="J168" s="103"/>
      <c r="K168" s="219" t="s">
        <v>157</v>
      </c>
      <c r="L168" s="103"/>
      <c r="M168" s="103"/>
      <c r="N168" s="96">
        <v>2</v>
      </c>
      <c r="O168" s="97" t="s">
        <v>66</v>
      </c>
      <c r="P168" s="172">
        <v>15000000</v>
      </c>
      <c r="Q168" s="106">
        <f t="shared" si="20"/>
        <v>30000000</v>
      </c>
    </row>
    <row r="169" spans="2:18" ht="15.75" customHeight="1" x14ac:dyDescent="0.35">
      <c r="C169" s="107"/>
      <c r="D169" s="170" t="s">
        <v>170</v>
      </c>
      <c r="E169" s="91"/>
      <c r="F169" s="109"/>
      <c r="G169" s="103"/>
      <c r="H169" s="103"/>
      <c r="I169" s="103"/>
      <c r="J169" s="103"/>
      <c r="K169" s="217"/>
      <c r="L169" s="103"/>
      <c r="M169" s="103"/>
      <c r="N169" s="96"/>
      <c r="O169" s="97"/>
      <c r="P169" s="171"/>
      <c r="Q169" s="106"/>
    </row>
    <row r="170" spans="2:18" ht="15.75" customHeight="1" x14ac:dyDescent="0.35">
      <c r="C170" s="107" t="s">
        <v>98</v>
      </c>
      <c r="D170" s="113" t="s">
        <v>171</v>
      </c>
      <c r="E170" s="91"/>
      <c r="F170" s="109"/>
      <c r="G170" s="103"/>
      <c r="H170" s="103"/>
      <c r="I170" s="103"/>
      <c r="J170" s="103"/>
      <c r="K170" s="103"/>
      <c r="L170" s="103"/>
      <c r="M170" s="103"/>
      <c r="N170" s="96">
        <v>2</v>
      </c>
      <c r="O170" s="97" t="s">
        <v>66</v>
      </c>
      <c r="P170" s="171">
        <v>5000000</v>
      </c>
      <c r="Q170" s="165">
        <f t="shared" ref="Q170" si="21">N170*P170</f>
        <v>10000000</v>
      </c>
    </row>
    <row r="171" spans="2:18" ht="15.75" customHeight="1" x14ac:dyDescent="0.35">
      <c r="C171" s="175"/>
      <c r="D171" s="103"/>
      <c r="E171" s="180"/>
      <c r="F171" s="103"/>
      <c r="G171" s="103"/>
      <c r="H171" s="103"/>
      <c r="I171" s="103"/>
      <c r="J171" s="103"/>
      <c r="K171" s="157"/>
      <c r="L171" s="181"/>
      <c r="M171" s="95"/>
      <c r="N171" s="96"/>
      <c r="O171" s="97"/>
      <c r="P171" s="127"/>
      <c r="Q171" s="128"/>
    </row>
    <row r="172" spans="2:18" ht="15.75" customHeight="1" x14ac:dyDescent="0.35">
      <c r="C172" s="173">
        <v>10</v>
      </c>
      <c r="D172" s="179" t="s">
        <v>216</v>
      </c>
      <c r="E172" s="103"/>
      <c r="F172" s="103"/>
      <c r="G172" s="103"/>
      <c r="H172" s="103"/>
      <c r="I172" s="103"/>
      <c r="J172" s="103"/>
      <c r="K172" s="103"/>
      <c r="L172" s="103"/>
      <c r="M172" s="103"/>
      <c r="N172" s="96"/>
      <c r="O172" s="104"/>
      <c r="P172" s="105"/>
      <c r="Q172" s="106"/>
      <c r="R172" s="75">
        <f>SUM(Q173:Q177)</f>
        <v>16500000</v>
      </c>
    </row>
    <row r="173" spans="2:18" x14ac:dyDescent="0.35">
      <c r="B173" s="7" t="s">
        <v>121</v>
      </c>
      <c r="C173" s="175" t="s">
        <v>15</v>
      </c>
      <c r="D173" s="103" t="s">
        <v>217</v>
      </c>
      <c r="E173" s="180"/>
      <c r="F173" s="103"/>
      <c r="G173" s="103"/>
      <c r="H173" s="103"/>
      <c r="I173" s="103"/>
      <c r="J173" s="103"/>
      <c r="K173" s="157" t="s">
        <v>48</v>
      </c>
      <c r="L173" s="181"/>
      <c r="M173" s="103"/>
      <c r="N173" s="96">
        <v>1</v>
      </c>
      <c r="O173" s="97" t="s">
        <v>120</v>
      </c>
      <c r="P173" s="127">
        <v>2750000</v>
      </c>
      <c r="Q173" s="128">
        <f>N173*P173</f>
        <v>2750000</v>
      </c>
    </row>
    <row r="174" spans="2:18" x14ac:dyDescent="0.35">
      <c r="B174" s="7" t="s">
        <v>121</v>
      </c>
      <c r="C174" s="175" t="s">
        <v>16</v>
      </c>
      <c r="D174" s="103" t="s">
        <v>122</v>
      </c>
      <c r="E174" s="180"/>
      <c r="F174" s="103"/>
      <c r="G174" s="103"/>
      <c r="H174" s="103"/>
      <c r="I174" s="103"/>
      <c r="J174" s="103"/>
      <c r="K174" s="157" t="s">
        <v>48</v>
      </c>
      <c r="L174" s="181"/>
      <c r="M174" s="103"/>
      <c r="N174" s="96">
        <v>1</v>
      </c>
      <c r="O174" s="97" t="s">
        <v>120</v>
      </c>
      <c r="P174" s="127">
        <v>2750000</v>
      </c>
      <c r="Q174" s="128">
        <f>N174*P174</f>
        <v>2750000</v>
      </c>
    </row>
    <row r="175" spans="2:18" ht="15.75" customHeight="1" x14ac:dyDescent="0.35">
      <c r="C175" s="107" t="s">
        <v>26</v>
      </c>
      <c r="D175" s="103" t="s">
        <v>218</v>
      </c>
      <c r="E175" s="103"/>
      <c r="F175" s="160"/>
      <c r="G175" s="160"/>
      <c r="H175" s="160"/>
      <c r="I175" s="103"/>
      <c r="J175" s="103"/>
      <c r="K175" s="103"/>
      <c r="L175" s="103"/>
      <c r="M175" s="103"/>
      <c r="N175" s="121">
        <v>6</v>
      </c>
      <c r="O175" s="161" t="s">
        <v>66</v>
      </c>
      <c r="P175" s="164">
        <v>1000000</v>
      </c>
      <c r="Q175" s="165">
        <f>N175*P175</f>
        <v>6000000</v>
      </c>
    </row>
    <row r="176" spans="2:18" ht="15.75" customHeight="1" x14ac:dyDescent="0.35">
      <c r="C176" s="107" t="s">
        <v>27</v>
      </c>
      <c r="D176" s="103" t="s">
        <v>219</v>
      </c>
      <c r="E176" s="103"/>
      <c r="F176" s="160"/>
      <c r="G176" s="160"/>
      <c r="H176" s="160"/>
      <c r="I176" s="103"/>
      <c r="J176" s="103"/>
      <c r="K176" s="103"/>
      <c r="L176" s="103"/>
      <c r="M176" s="103"/>
      <c r="N176" s="121">
        <v>1</v>
      </c>
      <c r="O176" s="161" t="s">
        <v>220</v>
      </c>
      <c r="P176" s="164">
        <v>5000000</v>
      </c>
      <c r="Q176" s="165">
        <f>N176*P176</f>
        <v>5000000</v>
      </c>
    </row>
    <row r="177" spans="3:18" ht="15.75" customHeight="1" x14ac:dyDescent="0.35">
      <c r="C177" s="175"/>
      <c r="D177" s="103"/>
      <c r="E177" s="180"/>
      <c r="F177" s="103"/>
      <c r="G177" s="103"/>
      <c r="H177" s="103"/>
      <c r="I177" s="103"/>
      <c r="J177" s="103"/>
      <c r="K177" s="126"/>
      <c r="L177" s="181"/>
      <c r="M177" s="95"/>
      <c r="N177" s="96"/>
      <c r="O177" s="97"/>
      <c r="P177" s="127"/>
      <c r="Q177" s="128"/>
    </row>
    <row r="178" spans="3:18" ht="15.75" customHeight="1" x14ac:dyDescent="0.35">
      <c r="C178" s="173">
        <v>11</v>
      </c>
      <c r="D178" s="179" t="s">
        <v>221</v>
      </c>
      <c r="E178" s="103"/>
      <c r="F178" s="103"/>
      <c r="G178" s="103"/>
      <c r="H178" s="103"/>
      <c r="I178" s="103"/>
      <c r="J178" s="103"/>
      <c r="K178" s="103"/>
      <c r="L178" s="103"/>
      <c r="M178" s="103"/>
      <c r="N178" s="96"/>
      <c r="O178" s="104"/>
      <c r="P178" s="105"/>
      <c r="Q178" s="106"/>
      <c r="R178" s="75">
        <f>SUM(Q179:Q181)</f>
        <v>7000000</v>
      </c>
    </row>
    <row r="179" spans="3:18" x14ac:dyDescent="0.35">
      <c r="C179" s="175" t="s">
        <v>15</v>
      </c>
      <c r="D179" s="103" t="s">
        <v>129</v>
      </c>
      <c r="E179" s="103"/>
      <c r="F179" s="103"/>
      <c r="G179" s="103"/>
      <c r="H179" s="103"/>
      <c r="I179" s="103"/>
      <c r="J179" s="103"/>
      <c r="K179" s="126"/>
      <c r="L179" s="103"/>
      <c r="M179" s="103"/>
      <c r="N179" s="96">
        <v>1</v>
      </c>
      <c r="O179" s="97" t="s">
        <v>37</v>
      </c>
      <c r="P179" s="127">
        <v>1500000</v>
      </c>
      <c r="Q179" s="128">
        <f>N179*P179</f>
        <v>1500000</v>
      </c>
    </row>
    <row r="180" spans="3:18" x14ac:dyDescent="0.35">
      <c r="C180" s="175" t="s">
        <v>16</v>
      </c>
      <c r="D180" s="103" t="s">
        <v>65</v>
      </c>
      <c r="E180" s="180"/>
      <c r="F180" s="103"/>
      <c r="G180" s="103"/>
      <c r="H180" s="103"/>
      <c r="I180" s="103"/>
      <c r="J180" s="103"/>
      <c r="K180" s="126"/>
      <c r="L180" s="181"/>
      <c r="M180" s="103"/>
      <c r="N180" s="96">
        <v>1</v>
      </c>
      <c r="O180" s="104" t="s">
        <v>37</v>
      </c>
      <c r="P180" s="182">
        <v>2000000</v>
      </c>
      <c r="Q180" s="128">
        <f>N180*P180</f>
        <v>2000000</v>
      </c>
    </row>
    <row r="181" spans="3:18" ht="16" thickBot="1" x14ac:dyDescent="0.4">
      <c r="C181" s="175" t="s">
        <v>26</v>
      </c>
      <c r="D181" s="103" t="s">
        <v>222</v>
      </c>
      <c r="E181" s="180"/>
      <c r="F181" s="103"/>
      <c r="G181" s="103"/>
      <c r="H181" s="103"/>
      <c r="I181" s="103"/>
      <c r="J181" s="103"/>
      <c r="K181" s="126"/>
      <c r="L181" s="181"/>
      <c r="M181" s="103"/>
      <c r="N181" s="96">
        <v>1</v>
      </c>
      <c r="O181" s="104" t="s">
        <v>18</v>
      </c>
      <c r="P181" s="182">
        <v>3500000</v>
      </c>
      <c r="Q181" s="128">
        <f>N181*P181</f>
        <v>3500000</v>
      </c>
    </row>
    <row r="182" spans="3:18" ht="16" thickBot="1" x14ac:dyDescent="0.4">
      <c r="C182" s="183"/>
      <c r="D182" s="184"/>
      <c r="E182" s="185"/>
      <c r="F182" s="185"/>
      <c r="G182" s="185"/>
      <c r="H182" s="185"/>
      <c r="I182" s="185"/>
      <c r="J182" s="185"/>
      <c r="K182" s="185"/>
      <c r="L182" s="185"/>
      <c r="M182" s="185"/>
      <c r="N182" s="184"/>
      <c r="O182" s="186"/>
      <c r="P182" s="187"/>
      <c r="Q182" s="188"/>
      <c r="R182" s="34">
        <f>SUM(R24:R181)</f>
        <v>524833000</v>
      </c>
    </row>
    <row r="183" spans="3:18" ht="16" thickBot="1" x14ac:dyDescent="0.4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47" t="s">
        <v>47</v>
      </c>
      <c r="Q183" s="34">
        <f>SUM(Q25:Q182)</f>
        <v>524833000</v>
      </c>
      <c r="R183" s="7" t="str" cm="1">
        <f t="array" ref="R183">[1]!terbilang(Q183)</f>
        <v xml:space="preserve"> lima ratus dua puluh empat juta delapan ratus tiga puluh tiga ribu</v>
      </c>
    </row>
    <row r="184" spans="3:18" ht="16" thickBot="1" x14ac:dyDescent="0.4">
      <c r="C184" s="22" t="s">
        <v>52</v>
      </c>
      <c r="D184" s="23" t="s">
        <v>2</v>
      </c>
      <c r="E184" s="24"/>
      <c r="F184" s="24"/>
      <c r="G184" s="24"/>
      <c r="H184" s="24"/>
      <c r="I184" s="24"/>
      <c r="J184" s="1"/>
      <c r="K184" s="1"/>
      <c r="L184" s="1"/>
      <c r="N184" s="203"/>
      <c r="O184" s="26"/>
      <c r="P184" s="73" t="s">
        <v>179</v>
      </c>
      <c r="Q184" s="74">
        <f>Q183*0.3</f>
        <v>157449900</v>
      </c>
    </row>
    <row r="185" spans="3:18" x14ac:dyDescent="0.35">
      <c r="C185" s="22"/>
      <c r="D185" s="65" t="s">
        <v>53</v>
      </c>
      <c r="E185" s="24"/>
      <c r="F185" s="24"/>
      <c r="G185" s="24"/>
      <c r="H185" s="24"/>
      <c r="I185" s="204"/>
      <c r="J185" s="204"/>
      <c r="K185" s="203"/>
      <c r="L185" s="26"/>
      <c r="M185" s="203"/>
      <c r="N185" s="203"/>
      <c r="O185" s="26"/>
      <c r="P185" s="26"/>
      <c r="Q185" s="26"/>
    </row>
    <row r="186" spans="3:18" x14ac:dyDescent="0.35">
      <c r="C186" s="22"/>
      <c r="D186" s="65" t="s">
        <v>38</v>
      </c>
      <c r="E186" s="24"/>
      <c r="F186" s="24"/>
      <c r="G186" s="24"/>
      <c r="H186" s="24"/>
      <c r="I186" s="204"/>
      <c r="J186" s="204"/>
      <c r="K186" s="203"/>
      <c r="L186" s="26"/>
      <c r="M186" s="203"/>
      <c r="N186" s="203"/>
      <c r="O186" s="26"/>
      <c r="P186" s="28" t="s">
        <v>231</v>
      </c>
      <c r="Q186" s="26"/>
    </row>
    <row r="187" spans="3:18" x14ac:dyDescent="0.35">
      <c r="C187" s="24"/>
      <c r="D187" s="46" t="s">
        <v>39</v>
      </c>
      <c r="E187" s="24"/>
      <c r="F187" s="24"/>
      <c r="G187" s="24"/>
      <c r="H187" s="24"/>
      <c r="I187" s="204"/>
      <c r="J187" s="204"/>
      <c r="K187" s="203"/>
      <c r="L187" s="26"/>
      <c r="M187" s="203"/>
      <c r="N187" s="203"/>
      <c r="O187" s="26"/>
      <c r="P187" s="29" t="s">
        <v>40</v>
      </c>
      <c r="Q187" s="26"/>
    </row>
    <row r="188" spans="3:18" x14ac:dyDescent="0.35">
      <c r="C188" s="24"/>
      <c r="D188" s="46" t="s">
        <v>45</v>
      </c>
      <c r="E188" s="24"/>
      <c r="F188" s="24"/>
      <c r="G188" s="24"/>
      <c r="H188" s="24"/>
      <c r="I188" s="204"/>
      <c r="J188" s="204"/>
      <c r="K188" s="203"/>
      <c r="L188" s="26"/>
      <c r="M188" s="203"/>
      <c r="N188" s="203"/>
      <c r="O188" s="26"/>
      <c r="P188" s="30"/>
      <c r="Q188" s="26"/>
    </row>
    <row r="189" spans="3:18" x14ac:dyDescent="0.35">
      <c r="C189" s="24"/>
      <c r="D189" s="46" t="s">
        <v>46</v>
      </c>
      <c r="E189" s="24"/>
      <c r="F189" s="24"/>
      <c r="G189" s="24"/>
      <c r="H189" s="24"/>
      <c r="I189" s="204"/>
      <c r="J189" s="204"/>
      <c r="K189" s="203"/>
      <c r="L189" s="26"/>
      <c r="M189" s="203"/>
      <c r="N189" s="203"/>
      <c r="O189" s="26"/>
      <c r="P189" s="30"/>
      <c r="Q189" s="26"/>
    </row>
    <row r="190" spans="3:18" x14ac:dyDescent="0.35">
      <c r="C190" s="24"/>
      <c r="D190" s="46" t="s">
        <v>77</v>
      </c>
      <c r="E190" s="24"/>
      <c r="F190" s="24"/>
      <c r="G190" s="24"/>
      <c r="H190" s="24"/>
      <c r="I190" s="205"/>
      <c r="J190" s="204"/>
      <c r="K190" s="203"/>
      <c r="L190" s="26"/>
      <c r="M190" s="203"/>
      <c r="N190" s="203"/>
      <c r="O190" s="26"/>
      <c r="P190" s="30"/>
      <c r="Q190" s="26"/>
    </row>
    <row r="191" spans="3:18" x14ac:dyDescent="0.35">
      <c r="C191" s="24"/>
      <c r="D191" s="65" t="s">
        <v>78</v>
      </c>
      <c r="E191" s="66" t="s">
        <v>2</v>
      </c>
      <c r="F191" s="65"/>
      <c r="G191" s="65"/>
      <c r="H191" s="65"/>
      <c r="I191" s="204"/>
      <c r="J191" s="204"/>
      <c r="K191" s="203"/>
      <c r="L191" s="26"/>
      <c r="M191" s="203"/>
      <c r="N191" s="203"/>
      <c r="O191" s="26"/>
      <c r="P191" s="30"/>
      <c r="Q191" s="26"/>
    </row>
    <row r="192" spans="3:18" ht="18" x14ac:dyDescent="0.35">
      <c r="C192" s="24"/>
      <c r="D192" s="65"/>
      <c r="E192" s="69" t="s">
        <v>17</v>
      </c>
      <c r="F192" s="70" t="s">
        <v>180</v>
      </c>
      <c r="G192" s="70"/>
      <c r="H192" s="70"/>
      <c r="I192" s="206"/>
      <c r="J192" s="206"/>
      <c r="K192" s="207"/>
      <c r="L192" s="26"/>
      <c r="M192" s="203"/>
      <c r="N192" s="203"/>
      <c r="O192" s="26"/>
      <c r="P192" s="31" t="s">
        <v>71</v>
      </c>
      <c r="Q192" s="208"/>
    </row>
    <row r="193" spans="3:17" ht="18" x14ac:dyDescent="0.35">
      <c r="C193" s="24"/>
      <c r="D193" s="65"/>
      <c r="E193" s="69" t="s">
        <v>17</v>
      </c>
      <c r="F193" s="70" t="s">
        <v>223</v>
      </c>
      <c r="G193" s="70"/>
      <c r="H193" s="70"/>
      <c r="I193" s="206"/>
      <c r="J193" s="206"/>
      <c r="K193" s="207"/>
      <c r="L193" s="26"/>
      <c r="M193" s="203"/>
      <c r="N193" s="203"/>
      <c r="O193" s="26"/>
      <c r="P193" s="32" t="s">
        <v>72</v>
      </c>
      <c r="Q193" s="208"/>
    </row>
    <row r="194" spans="3:17" ht="18" x14ac:dyDescent="0.35">
      <c r="C194" s="27"/>
      <c r="D194" s="65"/>
      <c r="E194" s="69"/>
      <c r="F194" s="70" t="s">
        <v>165</v>
      </c>
      <c r="G194" s="70"/>
      <c r="H194" s="70"/>
      <c r="I194" s="206"/>
      <c r="J194" s="206"/>
      <c r="K194" s="207"/>
      <c r="L194" s="26"/>
      <c r="M194" s="203"/>
      <c r="N194" s="203"/>
      <c r="O194" s="26"/>
      <c r="P194" s="32"/>
      <c r="Q194" s="208"/>
    </row>
    <row r="195" spans="3:17" x14ac:dyDescent="0.35">
      <c r="C195" s="60"/>
      <c r="D195" s="65"/>
      <c r="E195" s="69" t="s">
        <v>17</v>
      </c>
      <c r="F195" s="71" t="s">
        <v>79</v>
      </c>
      <c r="G195" s="71"/>
      <c r="H195" s="71"/>
      <c r="I195" s="206"/>
      <c r="J195" s="206"/>
      <c r="K195" s="207"/>
      <c r="L195" s="26"/>
      <c r="M195" s="203"/>
      <c r="N195" s="203"/>
      <c r="O195" s="26"/>
      <c r="P195" s="7"/>
      <c r="Q195" s="208"/>
    </row>
    <row r="196" spans="3:17" x14ac:dyDescent="0.35">
      <c r="C196" s="60"/>
      <c r="D196" s="65"/>
      <c r="E196" s="69"/>
      <c r="F196" s="72" t="s">
        <v>166</v>
      </c>
      <c r="G196" s="70"/>
      <c r="H196" s="70"/>
      <c r="I196" s="206"/>
      <c r="J196" s="206"/>
      <c r="K196" s="207"/>
      <c r="L196" s="26"/>
      <c r="M196" s="203"/>
      <c r="N196" s="203"/>
      <c r="O196" s="26"/>
      <c r="P196" s="7"/>
      <c r="Q196" s="208"/>
    </row>
    <row r="197" spans="3:17" x14ac:dyDescent="0.35">
      <c r="C197" s="60"/>
      <c r="D197" s="67" t="s">
        <v>41</v>
      </c>
      <c r="E197" s="68" t="s">
        <v>2</v>
      </c>
      <c r="F197" s="46"/>
      <c r="G197" s="46"/>
      <c r="H197" s="46"/>
      <c r="I197" s="204"/>
      <c r="J197" s="204"/>
      <c r="K197" s="203"/>
      <c r="L197" s="26"/>
      <c r="M197" s="203"/>
      <c r="N197" s="203"/>
      <c r="O197" s="26"/>
      <c r="P197" s="7"/>
      <c r="Q197" s="208"/>
    </row>
    <row r="198" spans="3:17" x14ac:dyDescent="0.35">
      <c r="C198" s="27"/>
      <c r="D198" s="194" t="s">
        <v>61</v>
      </c>
      <c r="E198" s="68" t="s">
        <v>2</v>
      </c>
      <c r="F198" s="71" t="s">
        <v>80</v>
      </c>
      <c r="G198" s="68"/>
      <c r="H198" s="68"/>
      <c r="I198" s="68"/>
      <c r="J198" s="68"/>
      <c r="K198" s="203"/>
      <c r="L198" s="26"/>
      <c r="M198" s="203"/>
      <c r="N198" s="203"/>
      <c r="O198" s="26"/>
      <c r="P198" s="7"/>
      <c r="Q198" s="208"/>
    </row>
    <row r="199" spans="3:17" x14ac:dyDescent="0.35">
      <c r="C199" s="27"/>
      <c r="D199" s="194" t="s">
        <v>63</v>
      </c>
      <c r="E199" s="68" t="s">
        <v>2</v>
      </c>
      <c r="F199" s="46" t="s">
        <v>81</v>
      </c>
      <c r="G199" s="68"/>
      <c r="H199" s="68"/>
      <c r="I199" s="68"/>
      <c r="J199" s="68"/>
      <c r="K199" s="203"/>
      <c r="L199" s="26"/>
      <c r="M199" s="203"/>
      <c r="N199" s="203"/>
      <c r="O199" s="26"/>
      <c r="P199" s="7"/>
      <c r="Q199" s="208"/>
    </row>
    <row r="200" spans="3:17" x14ac:dyDescent="0.35">
      <c r="C200" s="27"/>
      <c r="D200" s="194" t="s">
        <v>62</v>
      </c>
      <c r="E200" s="68" t="s">
        <v>2</v>
      </c>
      <c r="F200" s="71" t="s">
        <v>224</v>
      </c>
      <c r="G200" s="68"/>
      <c r="H200" s="68"/>
      <c r="I200" s="68"/>
      <c r="J200" s="68"/>
      <c r="L200" s="26"/>
      <c r="M200" s="203"/>
    </row>
    <row r="201" spans="3:17" x14ac:dyDescent="0.35">
      <c r="C201" s="27"/>
      <c r="D201" s="194" t="s">
        <v>64</v>
      </c>
      <c r="E201" s="68" t="s">
        <v>2</v>
      </c>
      <c r="F201" s="46" t="s">
        <v>54</v>
      </c>
      <c r="G201" s="68"/>
      <c r="H201" s="68"/>
      <c r="I201" s="68"/>
      <c r="J201" s="68"/>
      <c r="L201" s="26"/>
      <c r="M201" s="203"/>
    </row>
    <row r="202" spans="3:17" x14ac:dyDescent="0.35">
      <c r="C202" s="27"/>
      <c r="D202" s="22"/>
      <c r="E202" s="66"/>
      <c r="F202" s="65"/>
      <c r="G202" s="65"/>
      <c r="H202" s="65"/>
      <c r="I202" s="204"/>
      <c r="J202" s="204"/>
      <c r="K202" s="203"/>
      <c r="L202" s="26"/>
      <c r="M202" s="203"/>
    </row>
    <row r="203" spans="3:17" x14ac:dyDescent="0.35">
      <c r="D203" s="22"/>
      <c r="E203" s="66"/>
      <c r="F203" s="65"/>
      <c r="G203" s="65"/>
      <c r="H203" s="65"/>
      <c r="I203" s="204"/>
      <c r="J203" s="204"/>
      <c r="K203" s="203"/>
    </row>
    <row r="204" spans="3:17" x14ac:dyDescent="0.35">
      <c r="D204" s="22"/>
      <c r="E204" s="46"/>
      <c r="F204" s="46"/>
      <c r="G204" s="68"/>
      <c r="H204" s="46"/>
      <c r="I204" s="204"/>
    </row>
  </sheetData>
  <mergeCells count="6">
    <mergeCell ref="D93:I93"/>
    <mergeCell ref="N6:P6"/>
    <mergeCell ref="C13:Q13"/>
    <mergeCell ref="C22:C24"/>
    <mergeCell ref="D22:M24"/>
    <mergeCell ref="N22:O23"/>
  </mergeCells>
  <phoneticPr fontId="22" type="noConversion"/>
  <hyperlinks>
    <hyperlink ref="N8" r:id="rId1" xr:uid="{AE5AAB0D-B1E8-485D-A887-EB0881761E16}"/>
  </hyperlinks>
  <printOptions horizontalCentered="1"/>
  <pageMargins left="0.31496062992125984" right="0.31496062992125984" top="0.39370078740157483" bottom="0.39370078740157483" header="0.31496062992125984" footer="0.11811023622047245"/>
  <pageSetup paperSize="9" scale="58" fitToWidth="0" fitToHeight="0" pageOrder="overThenDown" orientation="portrait" r:id="rId2"/>
  <headerFooter>
    <oddFooter>&amp;L&amp;F&amp;RPage &amp;P of &amp;N</oddFooter>
  </headerFooter>
  <rowBreaks count="1" manualBreakCount="1">
    <brk id="171" min="2" max="16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Penawaran</vt:lpstr>
      <vt:lpstr>Penawaran!Print_Area</vt:lpstr>
      <vt:lpstr>Penawaran!Print_Titles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byan@caputra.com</dc:creator>
  <cp:lastModifiedBy>byanar</cp:lastModifiedBy>
  <cp:lastPrinted>2025-12-03T05:17:32Z</cp:lastPrinted>
  <dcterms:created xsi:type="dcterms:W3CDTF">1996-10-14T23:33:28Z</dcterms:created>
  <dcterms:modified xsi:type="dcterms:W3CDTF">2026-06-24T02:07:32Z</dcterms:modified>
</cp:coreProperties>
</file>